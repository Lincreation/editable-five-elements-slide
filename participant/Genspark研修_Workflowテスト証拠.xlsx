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8b1a1c1b2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常系" sheetId="1" r:id="R918221275ef447a3"/>
    <x:sheet xmlns:r="http://schemas.openxmlformats.org/officeDocument/2006/relationships" name="例外系" sheetId="2" r:id="R408be18dd7a04d24"/>
    <x:sheet xmlns:r="http://schemas.openxmlformats.org/officeDocument/2006/relationships" name="Hard Stop" sheetId="3" r:id="R30abf4ddbc054aa3"/>
    <x:sheet xmlns:r="http://schemas.openxmlformats.org/officeDocument/2006/relationships" name="Test Record" sheetId="4" r:id="R78639a8de94c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4243D"/>
      <x:name val="Carlito"/>
    </x:font>
    <x:font>
      <x:b/>
      <x:sz val="11"/>
      <x:color rgb="FFFFFFFF"/>
      <x:name val="Carlito"/>
    </x:font>
    <x:font>
      <x:b/>
      <x:sz val="11"/>
      <x:color rgb="FF1424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D"/>
      </x:patternFill>
    </x:fill>
    <x:fill>
      <x:patternFill patternType="solid">
        <x:fgColor rgb="FFEEF5FA"/>
      </x:patternFill>
    </x:fill>
    <x:fill>
      <x:patternFill patternType="solid">
        <x:fgColor rgb="FF2F7D68"/>
      </x:patternFill>
    </x:fill>
  </x:fills>
  <x:borders count="12">
    <x:border/>
    <x:border>
      <x:right style="thin">
        <x:color rgb="FFD7E1EE"/>
      </x:right>
      <x:bottom style="thin">
        <x:color rgb="FFD7E1EE"/>
      </x:bottom>
    </x:border>
    <x:border>
      <x:left style="thin">
        <x:color rgb="FFD7E1EE"/>
      </x:left>
      <x:right style="thin">
        <x:color rgb="FFD7E1EE"/>
      </x:right>
      <x:bottom style="thin">
        <x:color rgb="FFD7E1EE"/>
      </x:bottom>
    </x:border>
    <x:border>
      <x:left style="thin">
        <x:color rgb="FFD7E1EE"/>
      </x:left>
      <x:bottom style="thin">
        <x:color rgb="FFD7E1EE"/>
      </x:bottom>
    </x:border>
    <x:border>
      <x:right style="thin">
        <x:color rgb="FFD7E1EE"/>
      </x:right>
      <x:top style="thin">
        <x:color rgb="FFD7E1EE"/>
      </x:top>
      <x:bottom style="thin">
        <x:color rgb="FFD7E1EE"/>
      </x:bottom>
    </x:border>
    <x:border>
      <x:left style="thin">
        <x:color rgb="FFD7E1EE"/>
      </x:left>
      <x:right style="thin">
        <x:color rgb="FFD7E1EE"/>
      </x:right>
      <x:top style="thin">
        <x:color rgb="FFD7E1EE"/>
      </x:top>
      <x:bottom style="thin">
        <x:color rgb="FFD7E1EE"/>
      </x:bottom>
    </x:border>
    <x:border>
      <x:left style="thin">
        <x:color rgb="FFD7E1EE"/>
      </x:left>
      <x:top style="thin">
        <x:color rgb="FFD7E1EE"/>
      </x:top>
      <x:bottom style="thin">
        <x:color rgb="FFD7E1EE"/>
      </x:bottom>
    </x:border>
    <x:border>
      <x:right style="thin">
        <x:color rgb="FFD7E1EE"/>
      </x:right>
      <x:top style="thin">
        <x:color rgb="FFD7E1EE"/>
      </x:top>
    </x:border>
    <x:border>
      <x:left style="thin">
        <x:color rgb="FFD7E1EE"/>
      </x:left>
      <x:right style="thin">
        <x:color rgb="FFD7E1EE"/>
      </x:right>
      <x:top style="thin">
        <x:color rgb="FFD7E1EE"/>
      </x:top>
    </x:border>
    <x:border>
      <x:left style="thin">
        <x:color rgb="FFD7E1EE"/>
      </x:left>
      <x:top style="thin">
        <x:color rgb="FFD7E1EE"/>
      </x:top>
    </x:border>
    <x:border>
      <x:left style="thin">
        <x:color rgb="FFD7E1EE"/>
      </x:left>
    </x:border>
    <x:border>
      <x:right style="thin">
        <x:color rgb="FFD7E1EE"/>
      </x:right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9" xfId="0" applyNumberFormat="1" applyFont="1" applyFill="1" applyBorder="1"/>
    <x:xf numFmtId="200" fontId="4" fillId="0" borderId="7" xfId="0" applyNumberFormat="1" applyFont="1" applyFill="1" applyBorder="1"/>
    <x:xf numFmtId="0" fontId="4" fillId="3" borderId="10" xfId="0" applyNumberFormat="1" applyFont="1" applyFill="1" applyBorder="1"/>
    <x:xf numFmtId="200" fontId="4" fillId="0" borderId="11" xfId="0" applyNumberFormat="1" applyFont="1" applyFill="1" applyBorder="1"/>
    <x:xf numFmtId="0" fontId="4" fillId="3" borderId="3" xfId="0" applyNumberFormat="1" applyFont="1" applyFill="1" applyBorder="1"/>
    <x:xf numFmtId="200" fontId="4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2F7D68"/>
      </x:font>
      <x:fill>
        <x:patternFill patternType="solid">
          <x:bgColor rgb="FFDDEFE8"/>
        </x:patternFill>
      </x:fill>
    </x:dxf>
    <x:dxf>
      <x:font>
        <x:b/>
        <x:color rgb="FF9B2C2C"/>
      </x:font>
      <x:fill>
        <x:patternFill patternType="solid"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5aa0ac73a4716" /><Relationship Type="http://schemas.openxmlformats.org/officeDocument/2006/relationships/theme" Target="/xl/theme/theme1.xml" Id="R65ccacb7058840fc" /><Relationship Type="http://schemas.openxmlformats.org/officeDocument/2006/relationships/sharedStrings" Target="/xl/sharedStrings.xml" Id="R729198c838624918" /><Relationship Type="http://schemas.openxmlformats.org/officeDocument/2006/relationships/worksheet" Target="/xl/worksheets/sheet1.xml" Id="R918221275ef447a3" /><Relationship Type="http://schemas.openxmlformats.org/officeDocument/2006/relationships/worksheet" Target="/xl/worksheets/sheet2.xml" Id="R408be18dd7a04d24" /><Relationship Type="http://schemas.openxmlformats.org/officeDocument/2006/relationships/worksheet" Target="/xl/worksheets/sheet3.xml" Id="R30abf4ddbc054aa3" /><Relationship Type="http://schemas.openxmlformats.org/officeDocument/2006/relationships/worksheet" Target="/xl/worksheets/sheet4.xml" Id="R78639a8de94c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正常系｜入力ケース</x:v>
      </x:c>
      <x:c r="B1" s="3"/>
      <x:c r="C1" s="3"/>
      <x:c r="D1" s="3"/>
      <x:c r="E1" s="3"/>
      <x:c r="F1" s="3"/>
    </x:row>
    <x:row r="2" ht="34" customHeight="1">
      <x:c r="A2" s="7" t="str">
        <x:v>研修用のテーブルテスト入力。氏名・顧客情報・実取引は含みません。</x:v>
      </x:c>
      <x:c r="B2" s="7"/>
      <x:c r="C2" s="7"/>
      <x:c r="D2" s="7"/>
      <x:c r="E2" s="7"/>
      <x:c r="F2" s="7"/>
    </x:row>
    <x:row r="4" ht="24" customHeight="1">
      <x:c r="A4" s="10" t="str">
        <x:v>請求書ID</x:v>
      </x:c>
      <x:c r="B4" s="10" t="str">
        <x:v>摘要</x:v>
      </x:c>
      <x:c r="C4" s="10" t="str">
        <x:v>入力金額</x:v>
      </x:c>
      <x:c r="D4" s="10" t="str">
        <x:v>出力金額</x:v>
      </x:c>
      <x:c r="E4" s="10" t="str">
        <x:v>必須列</x:v>
      </x:c>
      <x:c r="F4" s="10" t="str">
        <x:v>例外判定</x:v>
      </x:c>
    </x:row>
    <x:row r="5" ht="30" customHeight="1">
      <x:c r="A5" s="29" t="str">
        <x:v>TEST-N-01</x:v>
      </x:c>
      <x:c r="B5" s="30" t="str">
        <x:v>厨房備品</x:v>
      </x:c>
      <x:c r="C5" s="38" t="n">
        <x:v>100000</x:v>
      </x:c>
      <x:c r="D5" s="38" t="n">
        <x:v>100000</x:v>
      </x:c>
      <x:c r="E5" s="30" t="str">
        <x:v>OK</x:v>
      </x:c>
      <x:c r="F5" s="31" t="str">
        <x:v>なし</x:v>
      </x:c>
    </x:row>
    <x:row r="6" ht="30" customHeight="1">
      <x:c r="A6" s="32" t="str">
        <x:v>TEST-N-02</x:v>
      </x:c>
      <x:c r="B6" s="33" t="str">
        <x:v>店舗消耗品</x:v>
      </x:c>
      <x:c r="C6" s="39" t="n">
        <x:v>200000</x:v>
      </x:c>
      <x:c r="D6" s="39" t="n">
        <x:v>200000</x:v>
      </x:c>
      <x:c r="E6" s="33" t="str">
        <x:v>OK</x:v>
      </x:c>
      <x:c r="F6" s="34" t="str">
        <x:v>なし</x:v>
      </x:c>
    </x:row>
    <x:row r="7" ht="30" customHeight="1">
      <x:c r="A7" s="35" t="str">
        <x:v>TEST-N-03</x:v>
      </x:c>
      <x:c r="B7" s="36" t="str">
        <x:v>設備保守</x:v>
      </x:c>
      <x:c r="C7" s="40" t="n">
        <x:v>300000</x:v>
      </x:c>
      <x:c r="D7" s="40" t="n">
        <x:v>300000</x:v>
      </x:c>
      <x:c r="E7" s="36" t="str">
        <x:v>OK</x:v>
      </x:c>
      <x:c r="F7" s="37" t="str">
        <x:v>なし</x:v>
      </x:c>
    </x:row>
    <x:row r="9">
      <x:c r="A9" s="44" t="str">
        <x:v>件数</x:v>
      </x:c>
      <x:c r="B9" s="45" t="n">
        <x:f>COUNTA(A5:A7)</x:f>
        <x:v>3</x:v>
      </x:c>
    </x:row>
    <x:row r="10">
      <x:c r="A10" s="46" t="str">
        <x:v>入力総額</x:v>
      </x:c>
      <x:c r="B10" s="47" t="n">
        <x:f>SUM(C5:C7)</x:f>
        <x:v>600000</x:v>
      </x:c>
    </x:row>
    <x:row r="11">
      <x:c r="A11" s="46" t="str">
        <x:v>出力総額</x:v>
      </x:c>
      <x:c r="B11" s="47" t="n">
        <x:f>SUM(D5:D7)</x:f>
        <x:v>600000</x:v>
      </x:c>
    </x:row>
    <x:row r="12">
      <x:c r="A12" s="46" t="str">
        <x:v>例外数</x:v>
      </x:c>
      <x:c r="B12" s="47" t="n">
        <x:f>COUNTIF(F5:F7,"&lt;&gt;なし")</x:f>
        <x:v>0</x:v>
      </x:c>
    </x:row>
    <x:row r="13">
      <x:c r="A13" s="48" t="str">
        <x:v>必須列</x:v>
      </x:c>
      <x:c r="B13" s="49" t="str">
        <x:f>IF(COUNTIF(E5:E7,"欠落")&gt;0,"欠落","OK")</x:f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例外系｜入力ケース</x:v>
      </x:c>
      <x:c r="B1" s="3"/>
      <x:c r="C1" s="3"/>
      <x:c r="D1" s="3"/>
      <x:c r="E1" s="3"/>
      <x:c r="F1" s="3"/>
    </x:row>
    <x:row r="2" ht="34" customHeight="1">
      <x:c r="A2" s="7" t="str">
        <x:v>研修用のテーブルテスト入力。氏名・顧客情報・実取引は含みません。</x:v>
      </x:c>
      <x:c r="B2" s="7"/>
      <x:c r="C2" s="7"/>
      <x:c r="D2" s="7"/>
      <x:c r="E2" s="7"/>
      <x:c r="F2" s="7"/>
    </x:row>
    <x:row r="4" ht="24" customHeight="1">
      <x:c r="A4" s="10" t="str">
        <x:v>請求書ID</x:v>
      </x:c>
      <x:c r="B4" s="10" t="str">
        <x:v>摘要</x:v>
      </x:c>
      <x:c r="C4" s="10" t="str">
        <x:v>入力金額</x:v>
      </x:c>
      <x:c r="D4" s="10" t="str">
        <x:v>出力金額</x:v>
      </x:c>
      <x:c r="E4" s="10" t="str">
        <x:v>必須列</x:v>
      </x:c>
      <x:c r="F4" s="10" t="str">
        <x:v>例外判定</x:v>
      </x:c>
    </x:row>
    <x:row r="5" ht="30" customHeight="1">
      <x:c r="A5" s="29" t="str">
        <x:v>TEST-E-01</x:v>
      </x:c>
      <x:c r="B5" s="30" t="str">
        <x:v>厨房備品</x:v>
      </x:c>
      <x:c r="C5" s="38" t="n">
        <x:v>100000</x:v>
      </x:c>
      <x:c r="D5" s="38" t="n">
        <x:v>100000</x:v>
      </x:c>
      <x:c r="E5" s="30" t="str">
        <x:v>OK</x:v>
      </x:c>
      <x:c r="F5" s="31" t="str">
        <x:v>なし</x:v>
      </x:c>
    </x:row>
    <x:row r="6" ht="30" customHeight="1">
      <x:c r="A6" s="32" t="str">
        <x:v>TEST-E-02</x:v>
      </x:c>
      <x:c r="B6" s="33" t="str">
        <x:v>詳細不明</x:v>
      </x:c>
      <x:c r="C6" s="39" t="n">
        <x:v>200000</x:v>
      </x:c>
      <x:c r="D6" s="39" t="n">
        <x:v>200000</x:v>
      </x:c>
      <x:c r="E6" s="33" t="str">
        <x:v>OK</x:v>
      </x:c>
      <x:c r="F6" s="34" t="str">
        <x:v>詳細不足</x:v>
      </x:c>
    </x:row>
    <x:row r="7" ht="30" customHeight="1">
      <x:c r="A7" s="35" t="str">
        <x:v>TEST-E-03-再送</x:v>
      </x:c>
      <x:c r="B7" s="36" t="str">
        <x:v>消耗品一式（再送）</x:v>
      </x:c>
      <x:c r="C7" s="40" t="n">
        <x:v>300000</x:v>
      </x:c>
      <x:c r="D7" s="40" t="n">
        <x:v>300000</x:v>
      </x:c>
      <x:c r="E7" s="36" t="str">
        <x:v>OK</x:v>
      </x:c>
      <x:c r="F7" s="37" t="str">
        <x:v>重複候補</x:v>
      </x:c>
    </x:row>
    <x:row r="9">
      <x:c r="A9" s="44" t="str">
        <x:v>件数</x:v>
      </x:c>
      <x:c r="B9" s="45" t="n">
        <x:f>COUNTA(A5:A7)</x:f>
        <x:v>3</x:v>
      </x:c>
    </x:row>
    <x:row r="10">
      <x:c r="A10" s="46" t="str">
        <x:v>入力総額</x:v>
      </x:c>
      <x:c r="B10" s="47" t="n">
        <x:f>SUM(C5:C7)</x:f>
        <x:v>600000</x:v>
      </x:c>
    </x:row>
    <x:row r="11">
      <x:c r="A11" s="46" t="str">
        <x:v>出力総額</x:v>
      </x:c>
      <x:c r="B11" s="47" t="n">
        <x:f>SUM(D5:D7)</x:f>
        <x:v>600000</x:v>
      </x:c>
    </x:row>
    <x:row r="12">
      <x:c r="A12" s="46" t="str">
        <x:v>例外数</x:v>
      </x:c>
      <x:c r="B12" s="47" t="n">
        <x:f>COUNTIF(F5:F7,"&lt;&gt;なし")</x:f>
        <x:v>2</x:v>
      </x:c>
    </x:row>
    <x:row r="13">
      <x:c r="A13" s="48" t="str">
        <x:v>必須列</x:v>
      </x:c>
      <x:c r="B13" s="49" t="str">
        <x:f>IF(COUNTIF(E5:E7,"欠落")&gt;0,"欠落","OK")</x:f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Hard Stop｜入力ケース</x:v>
      </x:c>
      <x:c r="B1" s="3"/>
      <x:c r="C1" s="3"/>
      <x:c r="D1" s="3"/>
      <x:c r="E1" s="3"/>
      <x:c r="F1" s="3"/>
    </x:row>
    <x:row r="2" ht="34" customHeight="1">
      <x:c r="A2" s="7" t="str">
        <x:v>研修用のテーブルテスト入力。氏名・顧客情報・実取引は含みません。</x:v>
      </x:c>
      <x:c r="B2" s="7"/>
      <x:c r="C2" s="7"/>
      <x:c r="D2" s="7"/>
      <x:c r="E2" s="7"/>
      <x:c r="F2" s="7"/>
    </x:row>
    <x:row r="4" ht="24" customHeight="1">
      <x:c r="A4" s="10" t="str">
        <x:v>請求書ID</x:v>
      </x:c>
      <x:c r="B4" s="10" t="str">
        <x:v>摘要</x:v>
      </x:c>
      <x:c r="C4" s="10" t="str">
        <x:v>入力金額</x:v>
      </x:c>
      <x:c r="D4" s="10" t="str">
        <x:v>出力金額</x:v>
      </x:c>
      <x:c r="E4" s="10" t="str">
        <x:v>必須列</x:v>
      </x:c>
      <x:c r="F4" s="10" t="str">
        <x:v>例外判定</x:v>
      </x:c>
    </x:row>
    <x:row r="5" ht="30" customHeight="1">
      <x:c r="A5" s="29" t="str">
        <x:v>TEST-H-01</x:v>
      </x:c>
      <x:c r="B5" s="30" t="str">
        <x:v>厨房備品</x:v>
      </x:c>
      <x:c r="C5" s="38" t="n">
        <x:v>100000</x:v>
      </x:c>
      <x:c r="D5" s="38" t="n">
        <x:v>100000</x:v>
      </x:c>
      <x:c r="E5" s="30" t="str">
        <x:v>OK</x:v>
      </x:c>
      <x:c r="F5" s="31" t="str">
        <x:v>なし</x:v>
      </x:c>
    </x:row>
    <x:row r="6" ht="30" customHeight="1">
      <x:c r="A6" s="32" t="str"/>
      <x:c r="B6" s="33" t="str">
        <x:v>必須ID欠落</x:v>
      </x:c>
      <x:c r="C6" s="39" t="n">
        <x:v>200000</x:v>
      </x:c>
      <x:c r="D6" s="39" t="n">
        <x:v>200000</x:v>
      </x:c>
      <x:c r="E6" s="33" t="str">
        <x:v>欠落</x:v>
      </x:c>
      <x:c r="F6" s="34" t="str">
        <x:v>必須列欠落</x:v>
      </x:c>
    </x:row>
    <x:row r="7" ht="30" customHeight="1">
      <x:c r="A7" s="35" t="str">
        <x:v>TEST-H-03</x:v>
      </x:c>
      <x:c r="B7" s="36" t="str">
        <x:v>設備保守</x:v>
      </x:c>
      <x:c r="C7" s="40" t="n">
        <x:v>300000</x:v>
      </x:c>
      <x:c r="D7" s="40" t="n">
        <x:v>299000</x:v>
      </x:c>
      <x:c r="E7" s="36" t="str">
        <x:v>OK</x:v>
      </x:c>
      <x:c r="F7" s="37" t="str">
        <x:v>差額不一致</x:v>
      </x:c>
    </x:row>
    <x:row r="9">
      <x:c r="A9" s="44" t="str">
        <x:v>件数</x:v>
      </x:c>
      <x:c r="B9" s="45" t="n">
        <x:f>COUNTA(A5:A7)</x:f>
        <x:v>3</x:v>
      </x:c>
    </x:row>
    <x:row r="10">
      <x:c r="A10" s="46" t="str">
        <x:v>入力総額</x:v>
      </x:c>
      <x:c r="B10" s="47" t="n">
        <x:f>SUM(C5:C7)</x:f>
        <x:v>600000</x:v>
      </x:c>
    </x:row>
    <x:row r="11">
      <x:c r="A11" s="46" t="str">
        <x:v>出力総額</x:v>
      </x:c>
      <x:c r="B11" s="47" t="n">
        <x:f>SUM(D5:D7)</x:f>
        <x:v>599000</x:v>
      </x:c>
    </x:row>
    <x:row r="12">
      <x:c r="A12" s="46" t="str">
        <x:v>例外数</x:v>
      </x:c>
      <x:c r="B12" s="47" t="n">
        <x:f>COUNTIF(F5:F7,"&lt;&gt;なし")</x:f>
        <x:v>2</x:v>
      </x:c>
    </x:row>
    <x:row r="13">
      <x:c r="A13" s="48" t="str">
        <x:v>必須列</x:v>
      </x:c>
      <x:c r="B13" s="49" t="str">
        <x:f>IF(COUNTIF(E5:E7,"欠落")&gt;0,"欠落","OK")</x:f>
        <x:v>欠落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22" hidden="0" customWidth="1"/>
    <x:col min="11" max="11" width="30" hidden="0" customWidth="1"/>
    <x:col min="12" max="12" width="10" hidden="0" customWidth="1"/>
    <x:col min="13" max="13" width="16" hidden="0" customWidth="1"/>
  </x:cols>
  <x:sheetData>
    <x:row r="1" ht="34" customHeight="1">
      <x:c r="A1" s="3" t="str">
        <x:v>Workflow Test Record｜研修用模擬実行証拠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これはGenspark Run Historyの実ログではありません。Workflow Cardの停止設計を3ケースでテーブルテストした証拠です。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51" t="str">
        <x:v>Case</x:v>
      </x:c>
      <x:c r="B4" s="51" t="str">
        <x:v>入力条件</x:v>
      </x:c>
      <x:c r="C4" s="51" t="str">
        <x:v>件数</x:v>
      </x:c>
      <x:c r="D4" s="51" t="str">
        <x:v>入力総額</x:v>
      </x:c>
      <x:c r="E4" s="51" t="str">
        <x:v>出力総額</x:v>
      </x:c>
      <x:c r="F4" s="51" t="str">
        <x:v>差額</x:v>
      </x:c>
      <x:c r="G4" s="51" t="str">
        <x:v>例外数</x:v>
      </x:c>
      <x:c r="H4" s="51" t="str">
        <x:v>必須列</x:v>
      </x:c>
      <x:c r="I4" s="51" t="str">
        <x:v>期待結果</x:v>
      </x:c>
      <x:c r="J4" s="51" t="str">
        <x:v>模擬実行結果</x:v>
      </x:c>
      <x:c r="K4" s="51" t="str">
        <x:v>証拠</x:v>
      </x:c>
      <x:c r="L4" s="51" t="str">
        <x:v>判定</x:v>
      </x:c>
      <x:c r="M4" s="51" t="str">
        <x:v>本番化可否</x:v>
      </x:c>
    </x:row>
    <x:row r="5" ht="42" customHeight="1">
      <x:c r="A5" s="29" t="str">
        <x:v>正常系</x:v>
      </x:c>
      <x:c r="B5" s="30" t="str">
        <x:v>差額0円・例外0件・必須列OK</x:v>
      </x:c>
      <x:c r="C5" s="38" t="n">
        <x:f>'正常系'!B9</x:f>
        <x:v>3</x:v>
      </x:c>
      <x:c r="D5" s="38" t="n">
        <x:f>'正常系'!B10</x:f>
        <x:v>600000</x:v>
      </x:c>
      <x:c r="E5" s="38" t="n">
        <x:f>'正常系'!B11</x:f>
        <x:v>600000</x:v>
      </x:c>
      <x:c r="F5" s="38" t="n">
        <x:f>D5-E5</x:f>
        <x:v>0</x:v>
      </x:c>
      <x:c r="G5" s="38" t="n">
        <x:f>'正常系'!B12</x:f>
        <x:v>0</x:v>
      </x:c>
      <x:c r="H5" s="30" t="str">
        <x:f>'正常系'!B13</x:f>
        <x:v>OK</x:v>
      </x:c>
      <x:c r="I5" s="30" t="str">
        <x:v>レビュー用保存</x:v>
      </x:c>
      <x:c r="J5" s="30" t="str">
        <x:f>IF(AND(F5=0,G5=0,H5="OK"),"レビュー用保存","停止")</x:f>
        <x:v>レビュー用保存</x:v>
      </x:c>
      <x:c r="K5" s="30" t="str">
        <x:f>"差額"&amp;F5&amp;"円 / 例外"&amp;G5&amp;"件 / 必須列"&amp;H5</x:f>
        <x:v>差額0円 / 例外0件 / 必須列OK</x:v>
      </x:c>
      <x:c r="L5" s="30" t="str">
        <x:f>IF(I5=J5,"Pass","Fail")</x:f>
        <x:v>Pass</x:v>
      </x:c>
      <x:c r="M5" s="31" t="str">
        <x:v>不可（研修中）</x:v>
      </x:c>
    </x:row>
    <x:row r="6" ht="42" customHeight="1">
      <x:c r="A6" s="32" t="str">
        <x:v>例外系</x:v>
      </x:c>
      <x:c r="B6" s="33" t="str">
        <x:v>差額0円・例外2件・必須列OK</x:v>
      </x:c>
      <x:c r="C6" s="39" t="n">
        <x:f>'例外系'!B9</x:f>
        <x:v>3</x:v>
      </x:c>
      <x:c r="D6" s="39" t="n">
        <x:f>'例外系'!B10</x:f>
        <x:v>600000</x:v>
      </x:c>
      <x:c r="E6" s="39" t="n">
        <x:f>'例外系'!B11</x:f>
        <x:v>600000</x:v>
      </x:c>
      <x:c r="F6" s="39" t="n">
        <x:f>D6-E6</x:f>
        <x:v>0</x:v>
      </x:c>
      <x:c r="G6" s="39" t="n">
        <x:f>'例外系'!B12</x:f>
        <x:v>2</x:v>
      </x:c>
      <x:c r="H6" s="33" t="str">
        <x:f>'例外系'!B13</x:f>
        <x:v>OK</x:v>
      </x:c>
      <x:c r="I6" s="33" t="str">
        <x:v>Pending Confirmation</x:v>
      </x:c>
      <x:c r="J6" s="33" t="str">
        <x:f>IF(AND(F6=0,G6&gt;0,H6="OK"),"Pending Confirmation","停止")</x:f>
        <x:v>Pending Confirmation</x:v>
      </x:c>
      <x:c r="K6" s="33" t="str">
        <x:f>"差額"&amp;F6&amp;"円 / 例外"&amp;G6&amp;"件 / 必須列"&amp;H6</x:f>
        <x:v>差額0円 / 例外2件 / 必須列OK</x:v>
      </x:c>
      <x:c r="L6" s="33" t="str">
        <x:f>IF(I6=J6,"Pass","Fail")</x:f>
        <x:v>Pass</x:v>
      </x:c>
      <x:c r="M6" s="34" t="str">
        <x:v>不可（研修中）</x:v>
      </x:c>
    </x:row>
    <x:row r="7" ht="42" customHeight="1">
      <x:c r="A7" s="35" t="str">
        <x:v>Hard Stop</x:v>
      </x:c>
      <x:c r="B7" s="36" t="str">
        <x:v>差額1,000円・必須ID欠落</x:v>
      </x:c>
      <x:c r="C7" s="40" t="n">
        <x:f>'Hard Stop'!B9</x:f>
        <x:v>3</x:v>
      </x:c>
      <x:c r="D7" s="40" t="n">
        <x:f>'Hard Stop'!B10</x:f>
        <x:v>600000</x:v>
      </x:c>
      <x:c r="E7" s="40" t="n">
        <x:f>'Hard Stop'!B11</x:f>
        <x:v>599000</x:v>
      </x:c>
      <x:c r="F7" s="40" t="n">
        <x:f>D7-E7</x:f>
        <x:v>1000</x:v>
      </x:c>
      <x:c r="G7" s="40" t="n">
        <x:f>'Hard Stop'!B12</x:f>
        <x:v>2</x:v>
      </x:c>
      <x:c r="H7" s="36" t="str">
        <x:f>'Hard Stop'!B13</x:f>
        <x:v>欠落</x:v>
      </x:c>
      <x:c r="I7" s="36" t="str">
        <x:v>停止</x:v>
      </x:c>
      <x:c r="J7" s="36" t="str">
        <x:f>IF(OR(F7&lt;&gt;0,H7&lt;&gt;"OK"),"停止","不適合")</x:f>
        <x:v>停止</x:v>
      </x:c>
      <x:c r="K7" s="36" t="str">
        <x:f>"差額"&amp;F7&amp;"円 / 例外"&amp;G7&amp;"件 / 必須列"&amp;H7</x:f>
        <x:v>差額1000円 / 例外2件 / 必須列欠落</x:v>
      </x:c>
      <x:c r="L7" s="36" t="str">
        <x:f>IF(I7=J7,"Pass","Fail")</x:f>
        <x:v>Pass</x:v>
      </x:c>
      <x:c r="M7" s="37" t="str">
        <x:v>不可（研修中）</x:v>
      </x:c>
    </x:row>
    <x:row r="9">
      <x:c r="A9" s="52" t="str">
        <x:v>レビュー項目</x:v>
      </x:c>
      <x:c r="B9" s="52" t="str">
        <x:v>確認結果</x:v>
      </x:c>
      <x:c r="C9" s="52" t="str">
        <x:v>説明</x:v>
      </x:c>
      <x:c r="D9" s="52"/>
      <x:c r="E9" s="52"/>
      <x:c r="F9" s="52"/>
    </x:row>
    <x:row r="10" ht="36" customHeight="1">
      <x:c r="A10" s="29" t="str">
        <x:v>承認</x:v>
      </x:c>
      <x:c r="B10" s="30" t="str">
        <x:v>Pass</x:v>
      </x:c>
      <x:c r="C10" s="30" t="str">
        <x:v>外部送信・公開・Turn Onの前に人が承認</x:v>
      </x:c>
      <x:c r="D10" s="30"/>
      <x:c r="E10" s="30"/>
      <x:c r="F10" s="31"/>
    </x:row>
    <x:row r="11" ht="36" customHeight="1">
      <x:c r="A11" s="32" t="str">
        <x:v>正本</x:v>
      </x:c>
      <x:c r="B11" s="33" t="str">
        <x:v>Pass</x:v>
      </x:c>
      <x:c r="C11" s="33" t="str">
        <x:v>研修用コピーだけを読み、正本を直接更新しない</x:v>
      </x:c>
      <x:c r="D11" s="33"/>
      <x:c r="E11" s="33"/>
      <x:c r="F11" s="34"/>
    </x:row>
    <x:row r="12" ht="36" customHeight="1">
      <x:c r="A12" s="32" t="str">
        <x:v>履歴・復旧</x:v>
      </x:c>
      <x:c r="B12" s="33" t="str">
        <x:v>Pass</x:v>
      </x:c>
      <x:c r="C12" s="33" t="str">
        <x:v>Test Recordを残し、元データ修正後にコピーから再実行</x:v>
      </x:c>
      <x:c r="D12" s="33"/>
      <x:c r="E12" s="33"/>
      <x:c r="F12" s="34"/>
    </x:row>
    <x:row r="13" ht="36" customHeight="1">
      <x:c r="A13" s="35" t="str">
        <x:v>結論</x:v>
      </x:c>
      <x:c r="B13" s="36" t="str">
        <x:v>本番化不可</x:v>
      </x:c>
      <x:c r="C13" s="36" t="str">
        <x:v>実環境の権限・Connector・Owner承認は未検証</x:v>
      </x:c>
      <x:c r="D13" s="36"/>
      <x:c r="E13" s="36"/>
      <x:c r="F13" s="37"/>
    </x:row>
  </x:sheetData>
  <x:mergeCells>
    <x:mergeCell ref="A1:M1"/>
    <x:mergeCell ref="A2:M2"/>
    <x:mergeCell ref="C9:F9"/>
    <x:mergeCell ref="C10:F10"/>
    <x:mergeCell ref="C11:F11"/>
    <x:mergeCell ref="C12:F12"/>
    <x:mergeCell ref="C13:F13"/>
  </x:mergeCells>
  <x:conditionalFormatting sqref="L5:L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