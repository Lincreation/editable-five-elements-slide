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c9938c24742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部門別支出" sheetId="1" r:id="R8b2918179ebb463d"/>
    <x:sheet xmlns:r="http://schemas.openxmlformats.org/officeDocument/2006/relationships" name="請求書明細" sheetId="2" r:id="R47b1ae0b38c14b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¥#,##0"/>
    <x:numFmt numFmtId="201" formatCode="yyyy-mm-dd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2033"/>
      <x:name val="Carlito"/>
    </x:font>
    <x:font>
      <x:sz val="10"/>
      <x:color rgb="FF172033"/>
      <x:name val="Carlito"/>
    </x:font>
    <x:font>
      <x:b/>
      <x:sz val="10"/>
      <x:color rgb="FF64748B"/>
      <x:name val="Carlito"/>
    </x:font>
    <x:font>
      <x:b/>
      <x:sz val="12"/>
      <x:color rgb="FF14243D"/>
      <x:name val="Carlito"/>
    </x:font>
    <x:font>
      <x:b/>
      <x:sz val="10"/>
      <x:color rgb="FFFFFFFF"/>
      <x:name val="Carlito"/>
    </x:font>
    <x:font>
      <x:b/>
      <x:sz val="10"/>
      <x:color rgb="FF14243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43D"/>
      </x:patternFill>
    </x:fill>
    <x:fill>
      <x:patternFill patternType="solid">
        <x:fgColor rgb="FFEAF3F8"/>
      </x:patternFill>
    </x:fill>
    <x:fill>
      <x:patternFill patternType="solid">
        <x:fgColor rgb="FFF8FAFC"/>
      </x:patternFill>
    </x:fill>
    <x:fill>
      <x:patternFill patternType="solid">
        <x:fgColor rgb="FF79A6CA"/>
      </x:patternFill>
    </x:fill>
    <x:fill>
      <x:patternFill patternType="solid">
        <x:fgColor rgb="FFFFF4D6"/>
      </x:patternFill>
    </x:fill>
  </x:fills>
  <x:borders count="14">
    <x:border/>
    <x:border>
      <x:left style="thin">
        <x:color rgb="FFD8E3EC"/>
      </x:left>
      <x:top style="thin">
        <x:color rgb="FFD8E3EC"/>
      </x:top>
      <x:bottom style="thin">
        <x:color rgb="FFD8E3EC"/>
      </x:bottom>
    </x:border>
    <x:border>
      <x:top style="thin">
        <x:color rgb="FFD8E3EC"/>
      </x:top>
      <x:bottom style="thin">
        <x:color rgb="FFD8E3EC"/>
      </x:bottom>
    </x:border>
    <x:border>
      <x:right style="thin">
        <x:color rgb="FFD8E3EC"/>
      </x:right>
      <x:top style="thin">
        <x:color rgb="FFD8E3EC"/>
      </x:top>
      <x:bottom style="thin">
        <x:color rgb="FFD8E3EC"/>
      </x:bottom>
    </x:border>
    <x:border>
      <x:left style="thin">
        <x:color rgb="FF14243D"/>
      </x:left>
      <x:top style="thin">
        <x:color rgb="FF14243D"/>
      </x:top>
      <x:bottom style="thin">
        <x:color rgb="FF14243D"/>
      </x:bottom>
    </x:border>
    <x:border>
      <x:top style="thin">
        <x:color rgb="FF14243D"/>
      </x:top>
      <x:bottom style="thin">
        <x:color rgb="FF14243D"/>
      </x:bottom>
    </x:border>
    <x:border>
      <x:right style="thin">
        <x:color rgb="FF14243D"/>
      </x:right>
      <x:top style="thin">
        <x:color rgb="FF14243D"/>
      </x:top>
      <x:bottom style="thin">
        <x:color rgb="FF14243D"/>
      </x:bottom>
    </x:border>
    <x:border>
      <x:right style="thin">
        <x:color rgb="FFD8E3EC"/>
      </x:right>
      <x:bottom style="thin">
        <x:color rgb="FFD8E3EC"/>
      </x:bottom>
    </x:border>
    <x:border>
      <x:left style="thin">
        <x:color rgb="FFD8E3EC"/>
      </x:left>
      <x:right style="thin">
        <x:color rgb="FFD8E3EC"/>
      </x:right>
      <x:bottom style="thin">
        <x:color rgb="FFD8E3EC"/>
      </x:bottom>
    </x:border>
    <x:border>
      <x:left style="thin">
        <x:color rgb="FFD8E3EC"/>
      </x:left>
      <x:bottom style="thin">
        <x:color rgb="FFD8E3EC"/>
      </x:bottom>
    </x:border>
    <x:border>
      <x:left style="thin">
        <x:color rgb="FFD8E3EC"/>
      </x:left>
      <x:right style="thin">
        <x:color rgb="FFD8E3EC"/>
      </x:right>
      <x:top style="thin">
        <x:color rgb="FFD8E3EC"/>
      </x:top>
      <x:bottom style="thin">
        <x:color rgb="FFD8E3EC"/>
      </x:bottom>
    </x:border>
    <x:border>
      <x:right style="thin">
        <x:color rgb="FFD8E3EC"/>
      </x:right>
      <x:top style="thin">
        <x:color rgb="FFD8E3EC"/>
      </x:top>
    </x:border>
    <x:border>
      <x:left style="thin">
        <x:color rgb="FFD8E3EC"/>
      </x:left>
      <x:right style="thin">
        <x:color rgb="FFD8E3EC"/>
      </x:right>
      <x:top style="thin">
        <x:color rgb="FFD8E3EC"/>
      </x:top>
    </x:border>
    <x:border>
      <x:left style="thin">
        <x:color rgb="FFD8E3EC"/>
      </x:left>
      <x:top style="thin">
        <x:color rgb="FFD8E3EC"/>
      </x:top>
    </x:border>
  </x:borders>
  <x:cellStyleXfs count="1">
    <x:xf numFmtId="0" fontId="0" fillId="0" borderId="0"/>
  </x:cellStyleXfs>
  <x:cellXfs count="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200" fontId="5" fillId="4" borderId="2" xfId="0" applyNumberFormat="1" applyFont="1" applyFill="1" applyBorder="1" applyAlignment="1">
      <x:alignment vertical="center"/>
    </x:xf>
    <x:xf numFmtId="200" fontId="5" fillId="4" borderId="2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4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horizontal="center" wrapText="1"/>
    </x:xf>
    <x:xf numFmtId="0" fontId="6" fillId="5" borderId="5" xfId="0" applyNumberFormat="1" applyFont="1" applyFill="1" applyBorder="1" applyAlignment="1">
      <x:alignment horizontal="center" wrapText="1"/>
    </x:xf>
    <x:xf numFmtId="0" fontId="6" fillId="5" borderId="6" xfId="0" applyNumberFormat="1" applyFont="1" applyFill="1" applyBorder="1" applyAlignment="1">
      <x:alignment horizont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6" fillId="5" borderId="6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3" xfId="0" applyNumberFormat="1" applyFont="1" applyFill="1" applyBorder="1"/>
    <x:xf numFmtId="0" fontId="3" fillId="0" borderId="10" xfId="0" applyNumberFormat="1" applyFont="1" applyFill="1" applyBorder="1"/>
    <x:xf numFmtId="0" fontId="3" fillId="0" borderId="1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0" fontId="3" fillId="0" borderId="12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 applyAlignment="1">
      <x:alignment horizontal="center" vertical="center"/>
    </x:xf>
    <x:xf numFmtId="0" fontId="3" fillId="0" borderId="11" xfId="0" applyNumberFormat="1" applyFont="1" applyFill="1" applyBorder="1" applyAlignment="1">
      <x:alignment horizontal="center" vertical="center"/>
    </x:xf>
    <x:xf numFmtId="200" fontId="3" fillId="0" borderId="8" xfId="0" applyNumberFormat="1" applyFont="1" applyFill="1" applyBorder="1" applyAlignment="1">
      <x:alignment vertical="center"/>
    </x:xf>
    <x:xf numFmtId="200" fontId="3" fillId="0" borderId="10" xfId="0" applyNumberFormat="1" applyFont="1" applyFill="1" applyBorder="1" applyAlignment="1">
      <x:alignment vertical="center"/>
    </x:xf>
    <x:xf numFmtId="200" fontId="3" fillId="0" borderId="12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horizontal="right" vertical="center"/>
    </x:xf>
    <x:xf numFmtId="200" fontId="3" fillId="0" borderId="10" xfId="0" applyNumberFormat="1" applyFont="1" applyFill="1" applyBorder="1" applyAlignment="1">
      <x:alignment horizontal="right" vertical="center"/>
    </x:xf>
    <x:xf numFmtId="200" fontId="3" fillId="0" borderId="12" xfId="0" applyNumberFormat="1" applyFont="1" applyFill="1" applyBorder="1" applyAlignment="1">
      <x:alignment horizontal="right" vertical="center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horizontal="right" vertical="center"/>
    </x:xf>
    <x:xf numFmtId="0" fontId="7" fillId="4" borderId="3" xfId="0" applyNumberFormat="1" applyFont="1" applyFill="1" applyBorder="1" applyAlignment="1">
      <x:alignment vertical="center"/>
    </x:xf>
    <x:xf numFmtId="0" fontId="7" fillId="4" borderId="3" xfId="0" applyNumberFormat="1" applyFont="1" applyFill="1" applyBorder="1" applyAlignment="1">
      <x:alignment vertical="center" wrapText="1"/>
    </x:xf>
    <x:xf numFmtId="201" fontId="3" fillId="0" borderId="8" xfId="0" applyNumberFormat="1" applyFont="1" applyFill="1" applyBorder="1" applyAlignment="1">
      <x:alignment vertical="center"/>
    </x:xf>
    <x:xf numFmtId="201" fontId="3" fillId="0" borderId="10" xfId="0" applyNumberFormat="1" applyFont="1" applyFill="1" applyBorder="1" applyAlignment="1">
      <x:alignment vertical="center"/>
    </x:xf>
    <x:xf numFmtId="201" fontId="3" fillId="0" borderId="12" xfId="0" applyNumberFormat="1" applyFont="1" applyFill="1" applyBorder="1" applyAlignment="1">
      <x:alignment vertical="center"/>
    </x:xf>
    <x:xf numFmtId="201" fontId="3" fillId="0" borderId="9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201" fontId="3" fillId="0" borderId="13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0" fontId="3" fillId="6" borderId="3" xfId="0" applyNumberFormat="1" applyFont="1" applyFill="1" applyBorder="1" applyAlignment="1">
      <x:alignment vertical="center"/>
    </x:xf>
    <x:xf numFmtId="201" fontId="3" fillId="6" borderId="10" xfId="0" applyNumberFormat="1" applyFont="1" applyFill="1" applyBorder="1" applyAlignment="1">
      <x:alignment vertical="center"/>
    </x:xf>
    <x:xf numFmtId="0" fontId="3" fillId="6" borderId="10" xfId="0" applyNumberFormat="1" applyFont="1" applyFill="1" applyBorder="1" applyAlignment="1">
      <x:alignment vertical="center"/>
    </x:xf>
    <x:xf numFmtId="0" fontId="3" fillId="6" borderId="10" xfId="0" applyNumberFormat="1" applyFont="1" applyFill="1" applyBorder="1" applyAlignment="1">
      <x:alignment vertical="center" wrapText="1"/>
    </x:xf>
    <x:xf numFmtId="200" fontId="3" fillId="6" borderId="10" xfId="0" applyNumberFormat="1" applyFont="1" applyFill="1" applyBorder="1" applyAlignment="1">
      <x:alignment horizontal="right" vertical="center"/>
    </x:xf>
    <x:xf numFmtId="201" fontId="3" fillId="6" borderId="1" xfId="0" applyNumberFormat="1" applyFont="1" applyFill="1" applyBorder="1" applyAlignment="1">
      <x:alignment vertical="center"/>
    </x:xf>
    <x:xf numFmtId="0" fontId="3" fillId="6" borderId="11" xfId="0" applyNumberFormat="1" applyFont="1" applyFill="1" applyBorder="1" applyAlignment="1">
      <x:alignment vertical="center"/>
    </x:xf>
    <x:xf numFmtId="201" fontId="3" fillId="6" borderId="12" xfId="0" applyNumberFormat="1" applyFont="1" applyFill="1" applyBorder="1" applyAlignment="1">
      <x:alignment vertical="center"/>
    </x:xf>
    <x:xf numFmtId="0" fontId="3" fillId="6" borderId="12" xfId="0" applyNumberFormat="1" applyFont="1" applyFill="1" applyBorder="1" applyAlignment="1">
      <x:alignment vertical="center"/>
    </x:xf>
    <x:xf numFmtId="0" fontId="3" fillId="6" borderId="12" xfId="0" applyNumberFormat="1" applyFont="1" applyFill="1" applyBorder="1" applyAlignment="1">
      <x:alignment vertical="center" wrapText="1"/>
    </x:xf>
    <x:xf numFmtId="200" fontId="3" fillId="6" borderId="12" xfId="0" applyNumberFormat="1" applyFont="1" applyFill="1" applyBorder="1" applyAlignment="1">
      <x:alignment horizontal="right" vertical="center"/>
    </x:xf>
    <x:xf numFmtId="201" fontId="3" fillId="6" borderId="1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36d9cde9f84b0e" /><Relationship Type="http://schemas.openxmlformats.org/officeDocument/2006/relationships/theme" Target="/xl/theme/theme1.xml" Id="Raed1655fac0c4a8b" /><Relationship Type="http://schemas.openxmlformats.org/officeDocument/2006/relationships/sharedStrings" Target="/xl/sharedStrings.xml" Id="Rbb2e027a731c4318" /><Relationship Type="http://schemas.openxmlformats.org/officeDocument/2006/relationships/worksheet" Target="/xl/worksheets/sheet1.xml" Id="R8b2918179ebb463d" /><Relationship Type="http://schemas.openxmlformats.org/officeDocument/2006/relationships/worksheet" Target="/xl/worksheets/sheet2.xml" Id="R47b1ae0b38c14b1f" /></Relationships>
</file>

<file path=xl/tables/table1.xml><?xml version="1.0" encoding="utf-8"?>
<x:table xmlns:x="http://schemas.openxmlformats.org/spreadsheetml/2006/main" id="1" name="DepartmentSpendTable" displayName="DepartmentSpendTable" ref="A5:G13" headerRowCount="1" totalsRowCount="0" totalsRowShown="0">
  <x:tableColumns count="7">
    <x:tableColumn id="1" name="表示順"/>
    <x:tableColumn id="2" name="部門コード"/>
    <x:tableColumn id="3" name="部門"/>
    <x:tableColumn id="4" name="今週予算"/>
    <x:tableColumn id="5" name="先週実績"/>
    <x:tableColumn id="6" name="差額"/>
    <x:tableColumn id="7" name="判断基準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oiceDetailTable" displayName="InvoiceDetailTable" ref="A5:G18" headerRowCount="1" totalsRowCount="0" totalsRowShown="0">
  <x:tableColumns count="7">
    <x:tableColumn id="1" name="請求書ID"/>
    <x:tableColumn id="2" name="請求日"/>
    <x:tableColumn id="3" name="取引先表記"/>
    <x:tableColumn id="4" name="摘要"/>
    <x:tableColumn id="5" name="金額"/>
    <x:tableColumn id="6" name="店舗"/>
    <x:tableColumn id="7" name="支払期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721804dda042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3491a1934448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</x:cols>
  <x:sheetData>
    <x:row r="1" ht="32" customHeight="1">
      <x:c r="A1" s="4" t="str">
        <x:v>飲食店舗｜第3週 部門別支出（架空データ）</x:v>
      </x:c>
      <x:c r="B1" s="4" t="str">
        <x:v>飲食店舗｜第3週 部門別支出（架空データ）</x:v>
      </x:c>
      <x:c r="C1" s="4" t="str">
        <x:v>飲食店舗｜第3週 部門別支出（架空データ）</x:v>
      </x:c>
      <x:c r="D1" s="4" t="str">
        <x:v>飲食店舗｜第3週 部門別支出（架空データ）</x:v>
      </x:c>
      <x:c r="E1" s="4" t="str">
        <x:v>飲食店舗｜第3週 部門別支出（架空データ）</x:v>
      </x:c>
      <x:c r="F1" s="4" t="str">
        <x:v>飲食店舗｜第3週 部門別支出（架空データ）</x:v>
      </x:c>
      <x:c r="G1" s="4" t="str">
        <x:v>飲食店舗｜第3週 部門別支出（架空データ）</x:v>
      </x:c>
    </x:row>
    <x:row r="2" ht="28" customHeight="1">
      <x:c r="A2" s="9" t="str">
        <x:v>研修用の架空データです。表示順と判断基準を、請求書明細の分類・並べ替えに使います。</x:v>
      </x:c>
      <x:c r="B2" s="9" t="str">
        <x:v>研修用の架空データです。表示順と判断基準を、請求書明細の分類・並べ替えに使います。</x:v>
      </x:c>
      <x:c r="C2" s="9" t="str">
        <x:v>研修用の架空データです。表示順と判断基準を、請求書明細の分類・並べ替えに使います。</x:v>
      </x:c>
      <x:c r="D2" s="9" t="str">
        <x:v>研修用の架空データです。表示順と判断基準を、請求書明細の分類・並べ替えに使います。</x:v>
      </x:c>
      <x:c r="E2" s="9" t="str">
        <x:v>研修用の架空データです。表示順と判断基準を、請求書明細の分類・並べ替えに使います。</x:v>
      </x:c>
      <x:c r="F2" s="9" t="str">
        <x:v>研修用の架空データです。表示順と判断基準を、請求書明細の分類・並べ替えに使います。</x:v>
      </x:c>
      <x:c r="G2" s="9" t="str">
        <x:v>研修用の架空データです。表示順と判断基準を、請求書明細の分類・並べ替えに使います。</x:v>
      </x:c>
    </x:row>
    <x:row r="3">
      <x:c r="A3" s="18" t="str">
        <x:v>今週予算合計</x:v>
      </x:c>
      <x:c r="B3" s="21" t="n">
        <x:f>SUM(D6:D13)</x:f>
        <x:v>1000000</x:v>
      </x:c>
      <x:c r="C3" s="16" t="str">
        <x:v>先週実績合計</x:v>
      </x:c>
      <x:c r="D3" s="16" t="n">
        <x:f>SUM(E6:E13)</x:f>
        <x:v>857200</x:v>
      </x:c>
      <x:c r="E3" s="16" t="str">
        <x:v>予算差額</x:v>
      </x:c>
      <x:c r="F3" s="17" t="n">
        <x:f>B3-D3</x:f>
        <x:v>142800</x:v>
      </x:c>
    </x:row>
    <x:row r="5" ht="30" customHeight="1">
      <x:c r="A5" s="33" t="str">
        <x:v>表示順</x:v>
      </x:c>
      <x:c r="B5" s="34" t="str">
        <x:v>部門コード</x:v>
      </x:c>
      <x:c r="C5" s="34" t="str">
        <x:v>部門</x:v>
      </x:c>
      <x:c r="D5" s="34" t="str">
        <x:v>今週予算</x:v>
      </x:c>
      <x:c r="E5" s="34" t="str">
        <x:v>先週実績</x:v>
      </x:c>
      <x:c r="F5" s="34" t="str">
        <x:v>差額</x:v>
      </x:c>
      <x:c r="G5" s="35" t="str">
        <x:v>判断基準</x:v>
      </x:c>
    </x:row>
    <x:row r="6" ht="28" customHeight="1">
      <x:c r="A6" s="55" t="n">
        <x:v>1</x:v>
      </x:c>
      <x:c r="B6" s="47" t="str">
        <x:v>FOOD</x:v>
      </x:c>
      <x:c r="C6" s="47" t="str">
        <x:v>食材・ドリンク</x:v>
      </x:c>
      <x:c r="D6" s="61" t="n">
        <x:v>420000</x:v>
      </x:c>
      <x:c r="E6" s="61" t="n">
        <x:v>398000</x:v>
      </x:c>
      <x:c r="F6" s="61" t="n">
        <x:f>D6-E6</x:f>
        <x:v>22000</x:v>
      </x:c>
      <x:c r="G6" s="64" t="str">
        <x:v>食材、酒類、飲料、仕入先への商品代</x:v>
      </x:c>
    </x:row>
    <x:row r="7" ht="28" customHeight="1">
      <x:c r="A7" s="56" t="n">
        <x:v>2</x:v>
      </x:c>
      <x:c r="B7" s="50" t="str">
        <x:v>SUP</x:v>
      </x:c>
      <x:c r="C7" s="50" t="str">
        <x:v>店舗消耗品</x:v>
      </x:c>
      <x:c r="D7" s="62" t="n">
        <x:v>60000</x:v>
      </x:c>
      <x:c r="E7" s="62" t="n">
        <x:v>52200</x:v>
      </x:c>
      <x:c r="F7" s="62" t="n">
        <x:f>D7-E7</x:f>
        <x:v>7800</x:v>
      </x:c>
      <x:c r="G7" s="65" t="str">
        <x:v>包材、紙製品、手袋、洗剤など日常消耗品</x:v>
      </x:c>
    </x:row>
    <x:row r="8" ht="28" customHeight="1">
      <x:c r="A8" s="56" t="n">
        <x:v>3</x:v>
      </x:c>
      <x:c r="B8" s="50" t="str">
        <x:v>MAINT</x:v>
      </x:c>
      <x:c r="C8" s="50" t="str">
        <x:v>修繕・保守</x:v>
      </x:c>
      <x:c r="D8" s="62" t="n">
        <x:v>90000</x:v>
      </x:c>
      <x:c r="E8" s="62" t="n">
        <x:v>44000</x:v>
      </x:c>
      <x:c r="F8" s="62" t="n">
        <x:f>D8-E8</x:f>
        <x:v>46000</x:v>
      </x:c>
      <x:c r="G8" s="65" t="str">
        <x:v>厨房機器、空調、設備の修理・点検・保守</x:v>
      </x:c>
    </x:row>
    <x:row r="9" ht="28" customHeight="1">
      <x:c r="A9" s="56" t="n">
        <x:v>4</x:v>
      </x:c>
      <x:c r="B9" s="50" t="str">
        <x:v>MKT</x:v>
      </x:c>
      <x:c r="C9" s="50" t="str">
        <x:v>販促</x:v>
      </x:c>
      <x:c r="D9" s="62" t="n">
        <x:v>80000</x:v>
      </x:c>
      <x:c r="E9" s="62" t="n">
        <x:v>61000</x:v>
      </x:c>
      <x:c r="F9" s="62" t="n">
        <x:f>D9-E9</x:f>
        <x:v>19000</x:v>
      </x:c>
      <x:c r="G9" s="65" t="str">
        <x:v>広告、キャンペーン、看板・販促物の新規制作</x:v>
      </x:c>
    </x:row>
    <x:row r="10" ht="28" customHeight="1">
      <x:c r="A10" s="56" t="n">
        <x:v>5</x:v>
      </x:c>
      <x:c r="B10" s="50" t="str">
        <x:v>CLEAN</x:v>
      </x:c>
      <x:c r="C10" s="50" t="str">
        <x:v>衛生・清掃</x:v>
      </x:c>
      <x:c r="D10" s="62" t="n">
        <x:v>70000</x:v>
      </x:c>
      <x:c r="E10" s="62" t="n">
        <x:v>58000</x:v>
      </x:c>
      <x:c r="F10" s="62" t="n">
        <x:f>D10-E10</x:f>
        <x:v>12000</x:v>
      </x:c>
      <x:c r="G10" s="65" t="str">
        <x:v>清掃、グリストラップ、害虫防除、衛生点検</x:v>
      </x:c>
    </x:row>
    <x:row r="11" ht="28" customHeight="1">
      <x:c r="A11" s="56" t="n">
        <x:v>6</x:v>
      </x:c>
      <x:c r="B11" s="50" t="str">
        <x:v>HR</x:v>
      </x:c>
      <x:c r="C11" s="50" t="str">
        <x:v>採用・教育</x:v>
      </x:c>
      <x:c r="D11" s="62" t="n">
        <x:v>100000</x:v>
      </x:c>
      <x:c r="E11" s="62" t="n">
        <x:v>79000</x:v>
      </x:c>
      <x:c r="F11" s="62" t="n">
        <x:f>D11-E11</x:f>
        <x:v>21000</x:v>
      </x:c>
      <x:c r="G11" s="65" t="str">
        <x:v>求人掲載、採用、研修・教育</x:v>
      </x:c>
    </x:row>
    <x:row r="12" ht="28" customHeight="1">
      <x:c r="A12" s="56" t="n">
        <x:v>7</x:v>
      </x:c>
      <x:c r="B12" s="50" t="str">
        <x:v>UTIL</x:v>
      </x:c>
      <x:c r="C12" s="50" t="str">
        <x:v>水道光熱</x:v>
      </x:c>
      <x:c r="D12" s="62" t="n">
        <x:v>130000</x:v>
      </x:c>
      <x:c r="E12" s="62" t="n">
        <x:v>118000</x:v>
      </x:c>
      <x:c r="F12" s="62" t="n">
        <x:f>D12-E12</x:f>
        <x:v>12000</x:v>
      </x:c>
      <x:c r="G12" s="65" t="str">
        <x:v>電気、ガス、水道</x:v>
      </x:c>
    </x:row>
    <x:row r="13" ht="28" customHeight="1">
      <x:c r="A13" s="57" t="n">
        <x:v>8</x:v>
      </x:c>
      <x:c r="B13" s="53" t="str">
        <x:v>ADMIN</x:v>
      </x:c>
      <x:c r="C13" s="53" t="str">
        <x:v>管理費</x:v>
      </x:c>
      <x:c r="D13" s="63" t="n">
        <x:v>50000</x:v>
      </x:c>
      <x:c r="E13" s="63" t="n">
        <x:v>47000</x:v>
      </x:c>
      <x:c r="F13" s="63" t="n">
        <x:f>D13-E13</x:f>
        <x:v>3000</x:v>
      </x:c>
      <x:c r="G13" s="66" t="str">
        <x:v>事務用品、振込手数料、管理部門の共通費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7721804dda0421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3" hidden="0" customWidth="1"/>
    <x:col min="3" max="3" width="23" hidden="0" customWidth="1"/>
    <x:col min="4" max="4" width="36" hidden="0" customWidth="1"/>
    <x:col min="5" max="5" width="14" hidden="0" customWidth="1"/>
    <x:col min="6" max="6" width="23" hidden="0" customWidth="1"/>
    <x:col min="7" max="7" width="13" hidden="0" customWidth="1"/>
  </x:cols>
  <x:sheetData>
    <x:row r="1" ht="32" customHeight="1">
      <x:c r="A1" s="4" t="str">
        <x:v>飲食店舗｜第3週 請求書明細（架空データ）</x:v>
      </x:c>
      <x:c r="B1" s="4" t="str">
        <x:v>飲食店舗｜第3週 請求書明細（架空データ）</x:v>
      </x:c>
      <x:c r="C1" s="4" t="str">
        <x:v>飲食店舗｜第3週 請求書明細（架空データ）</x:v>
      </x:c>
      <x:c r="D1" s="4" t="str">
        <x:v>飲食店舗｜第3週 請求書明細（架空データ）</x:v>
      </x:c>
      <x:c r="E1" s="4" t="str">
        <x:v>飲食店舗｜第3週 請求書明細（架空データ）</x:v>
      </x:c>
      <x:c r="F1" s="4" t="str">
        <x:v>飲食店舗｜第3週 請求書明細（架空データ）</x:v>
      </x:c>
      <x:c r="G1" s="4" t="str">
        <x:v>飲食店舗｜第3週 請求書明細（架空データ）</x:v>
      </x:c>
    </x:row>
    <x:row r="2" ht="28" customHeight="1">
      <x:c r="A2" s="9" t="str">
        <x:v>取引先名の表記揺れ、再送による重複候補、判断材料が不足する明細を含みます。AIは曖昧な行を推測で確定しないこと。</x:v>
      </x:c>
      <x:c r="B2" s="9" t="str">
        <x:v>取引先名の表記揺れ、再送による重複候補、判断材料が不足する明細を含みます。AIは曖昧な行を推測で確定しないこと。</x:v>
      </x:c>
      <x:c r="C2" s="9" t="str">
        <x:v>取引先名の表記揺れ、再送による重複候補、判断材料が不足する明細を含みます。AIは曖昧な行を推測で確定しないこと。</x:v>
      </x:c>
      <x:c r="D2" s="9" t="str">
        <x:v>取引先名の表記揺れ、再送による重複候補、判断材料が不足する明細を含みます。AIは曖昧な行を推測で確定しないこと。</x:v>
      </x:c>
      <x:c r="E2" s="9" t="str">
        <x:v>取引先名の表記揺れ、再送による重複候補、判断材料が不足する明細を含みます。AIは曖昧な行を推測で確定しないこと。</x:v>
      </x:c>
      <x:c r="F2" s="9" t="str">
        <x:v>取引先名の表記揺れ、再送による重複候補、判断材料が不足する明細を含みます。AIは曖昧な行を推測で確定しないこと。</x:v>
      </x:c>
      <x:c r="G2" s="9" t="str">
        <x:v>取引先名の表記揺れ、再送による重複候補、判断材料が不足する明細を含みます。AIは曖昧な行を推測で確定しないこと。</x:v>
      </x:c>
    </x:row>
    <x:row r="3">
      <x:c r="A3" s="18" t="str">
        <x:v>明細件数</x:v>
      </x:c>
      <x:c r="B3" s="67" t="n">
        <x:f>COUNTA(A6:A18)</x:f>
        <x:v>13</x:v>
      </x:c>
      <x:c r="C3" s="16" t="str">
        <x:v>明細総額</x:v>
      </x:c>
      <x:c r="D3" s="21" t="n">
        <x:f>SUM(E6:E18)</x:f>
        <x:v>858640</x:v>
      </x:c>
      <x:c r="E3" s="16" t="str">
        <x:v>デモの狙い</x:v>
      </x:c>
      <x:c r="F3" s="69" t="str">
        <x:v>部門順への並べ替え＋要確認抽出</x:v>
      </x:c>
    </x:row>
    <x:row r="5" ht="30" customHeight="1">
      <x:c r="A5" s="33" t="str">
        <x:v>請求書ID</x:v>
      </x:c>
      <x:c r="B5" s="34" t="str">
        <x:v>請求日</x:v>
      </x:c>
      <x:c r="C5" s="34" t="str">
        <x:v>取引先表記</x:v>
      </x:c>
      <x:c r="D5" s="34" t="str">
        <x:v>摘要</x:v>
      </x:c>
      <x:c r="E5" s="34" t="str">
        <x:v>金額</x:v>
      </x:c>
      <x:c r="F5" s="34" t="str">
        <x:v>店舗</x:v>
      </x:c>
      <x:c r="G5" s="35" t="str">
        <x:v>支払期限</x:v>
      </x:c>
    </x:row>
    <x:row r="6" ht="27" customHeight="1">
      <x:c r="A6" s="46" t="str">
        <x:v>INV-3108</x:v>
      </x:c>
      <x:c r="B6" s="70" t="n">
        <x:v>46217</x:v>
      </x:c>
      <x:c r="C6" s="47" t="str">
        <x:v>ネオン工房TOKYO</x:v>
      </x:c>
      <x:c r="D6" s="76" t="str">
        <x:v>夏フェア店頭バナー新規制作</x:v>
      </x:c>
      <x:c r="E6" s="61" t="n">
        <x:v>66000</x:v>
      </x:c>
      <x:c r="F6" s="47" t="str">
        <x:v>四十八漁場 新宿店</x:v>
      </x:c>
      <x:c r="G6" s="73" t="n">
        <x:v>46234</x:v>
      </x:c>
    </x:row>
    <x:row r="7" ht="27" customHeight="1">
      <x:c r="A7" s="49" t="str">
        <x:v>INV-3102</x:v>
      </x:c>
      <x:c r="B7" s="71" t="n">
        <x:v>46216</x:v>
      </x:c>
      <x:c r="C7" s="50" t="str">
        <x:v>（株）サンライズ酒販</x:v>
      </x:c>
      <x:c r="D7" s="77" t="str">
        <x:v>ビール・日本酒 週次納品</x:v>
      </x:c>
      <x:c r="E7" s="62" t="n">
        <x:v>132800</x:v>
      </x:c>
      <x:c r="F7" s="50" t="str">
        <x:v>四十八漁場 新宿店</x:v>
      </x:c>
      <x:c r="G7" s="74" t="n">
        <x:v>46234</x:v>
      </x:c>
    </x:row>
    <x:row r="8" ht="27" customHeight="1">
      <x:c r="A8" s="49" t="str">
        <x:v>INV-3111</x:v>
      </x:c>
      <x:c r="B8" s="71" t="n">
        <x:v>46219</x:v>
      </x:c>
      <x:c r="C8" s="50" t="str">
        <x:v>Office Net</x:v>
      </x:c>
      <x:c r="D8" s="77" t="str">
        <x:v>本部事務用品・振込手数料</x:v>
      </x:c>
      <x:c r="E8" s="62" t="n">
        <x:v>35200</x:v>
      </x:c>
      <x:c r="F8" s="50" t="str">
        <x:v>本部共通</x:v>
      </x:c>
      <x:c r="G8" s="74" t="n">
        <x:v>46234</x:v>
      </x:c>
    </x:row>
    <x:row r="9" ht="27" customHeight="1">
      <x:c r="A9" s="49" t="str">
        <x:v>INV-3106</x:v>
      </x:c>
      <x:c r="B9" s="71" t="n">
        <x:v>46218</x:v>
      </x:c>
      <x:c r="C9" s="50" t="str">
        <x:v>KJクリーンサービス</x:v>
      </x:c>
      <x:c r="D9" s="77" t="str">
        <x:v>グリストラップ定期清掃</x:v>
      </x:c>
      <x:c r="E9" s="62" t="n">
        <x:v>44000</x:v>
      </x:c>
      <x:c r="F9" s="50" t="str">
        <x:v>四十八漁場 新宿店</x:v>
      </x:c>
      <x:c r="G9" s="74" t="n">
        <x:v>46234</x:v>
      </x:c>
    </x:row>
    <x:row r="10" ht="27" customHeight="1">
      <x:c r="A10" s="49" t="str">
        <x:v>INV-3101</x:v>
      </x:c>
      <x:c r="B10" s="71" t="n">
        <x:v>46216</x:v>
      </x:c>
      <x:c r="C10" s="50" t="str">
        <x:v>豊洲フレッシュフーズ</x:v>
      </x:c>
      <x:c r="D10" s="77" t="str">
        <x:v>鮮魚・青果 週次仕入</x:v>
      </x:c>
      <x:c r="E10" s="62" t="n">
        <x:v>184500</x:v>
      </x:c>
      <x:c r="F10" s="50" t="str">
        <x:v>四十八漁場 新宿店</x:v>
      </x:c>
      <x:c r="G10" s="74" t="n">
        <x:v>46234</x:v>
      </x:c>
    </x:row>
    <x:row r="11" ht="27" customHeight="1">
      <x:c r="A11" s="49" t="str">
        <x:v>INV-3110</x:v>
      </x:c>
      <x:c r="B11" s="71" t="n">
        <x:v>46219</x:v>
      </x:c>
      <x:c r="C11" s="50" t="str">
        <x:v>Recruit Partners</x:v>
      </x:c>
      <x:c r="D11" s="77" t="str">
        <x:v>アルバイト求人掲載 7月分</x:v>
      </x:c>
      <x:c r="E11" s="62" t="n">
        <x:v>88000</x:v>
      </x:c>
      <x:c r="F11" s="50" t="str">
        <x:v>本部共通</x:v>
      </x:c>
      <x:c r="G11" s="74" t="n">
        <x:v>46244</x:v>
      </x:c>
    </x:row>
    <x:row r="12" ht="27" customHeight="1">
      <x:c r="A12" s="49" t="str">
        <x:v>INV-3104</x:v>
      </x:c>
      <x:c r="B12" s="71" t="n">
        <x:v>46217</x:v>
      </x:c>
      <x:c r="C12" s="50" t="str">
        <x:v>Amazon Business JP</x:v>
      </x:c>
      <x:c r="D12" s="77" t="str">
        <x:v>紙ナプキン・手袋・テイクアウト容器</x:v>
      </x:c>
      <x:c r="E12" s="62" t="n">
        <x:v>18420</x:v>
      </x:c>
      <x:c r="F12" s="50" t="str">
        <x:v>四十八漁場 新宿店</x:v>
      </x:c>
      <x:c r="G12" s="74" t="n">
        <x:v>46234</x:v>
      </x:c>
    </x:row>
    <x:row r="13" ht="27" customHeight="1">
      <x:c r="A13" s="49" t="str">
        <x:v>INV-3107</x:v>
      </x:c>
      <x:c r="B13" s="71" t="n">
        <x:v>46218</x:v>
      </x:c>
      <x:c r="C13" s="50" t="str">
        <x:v>CleanGuard Ltd.</x:v>
      </x:c>
      <x:c r="D13" s="77" t="str">
        <x:v>害虫防除・衛生点検</x:v>
      </x:c>
      <x:c r="E13" s="62" t="n">
        <x:v>29700</x:v>
      </x:c>
      <x:c r="F13" s="50" t="str">
        <x:v>四十八漁場 新宿店</x:v>
      </x:c>
      <x:c r="G13" s="74" t="n">
        <x:v>46234</x:v>
      </x:c>
    </x:row>
    <x:row r="14" ht="27" customHeight="1">
      <x:c r="A14" s="49" t="str">
        <x:v>INV-3109</x:v>
      </x:c>
      <x:c r="B14" s="71" t="n">
        <x:v>46219</x:v>
      </x:c>
      <x:c r="C14" s="50" t="str">
        <x:v>東京電力EP</x:v>
      </x:c>
      <x:c r="D14" s="77" t="str">
        <x:v>店舗電気料金 6月使用分</x:v>
      </x:c>
      <x:c r="E14" s="62" t="n">
        <x:v>96400</x:v>
      </x:c>
      <x:c r="F14" s="50" t="str">
        <x:v>四十八漁場 新宿店</x:v>
      </x:c>
      <x:c r="G14" s="74" t="n">
        <x:v>46233</x:v>
      </x:c>
    </x:row>
    <x:row r="15" ht="27" customHeight="1">
      <x:c r="A15" s="49" t="str">
        <x:v>INV-3105</x:v>
      </x:c>
      <x:c r="B15" s="71" t="n">
        <x:v>46217</x:v>
      </x:c>
      <x:c r="C15" s="50" t="str">
        <x:v>厨房メンテ24</x:v>
      </x:c>
      <x:c r="D15" s="77" t="str">
        <x:v>冷蔵庫温度異常・部品交換</x:v>
      </x:c>
      <x:c r="E15" s="62" t="n">
        <x:v>55000</x:v>
      </x:c>
      <x:c r="F15" s="50" t="str">
        <x:v>四十八漁場 新宿店</x:v>
      </x:c>
      <x:c r="G15" s="74" t="n">
        <x:v>46234</x:v>
      </x:c>
    </x:row>
    <x:row r="16" ht="27" customHeight="1">
      <x:c r="A16" s="49" t="str">
        <x:v>INV-3103</x:v>
      </x:c>
      <x:c r="B16" s="71" t="n">
        <x:v>46216</x:v>
      </x:c>
      <x:c r="C16" s="50" t="str">
        <x:v>フードリンク東京</x:v>
      </x:c>
      <x:c r="D16" s="77" t="str">
        <x:v>冷凍食材・調味料</x:v>
      </x:c>
      <x:c r="E16" s="62" t="n">
        <x:v>57200</x:v>
      </x:c>
      <x:c r="F16" s="50" t="str">
        <x:v>四十八漁場 新宿店</x:v>
      </x:c>
      <x:c r="G16" s="74" t="n">
        <x:v>46234</x:v>
      </x:c>
    </x:row>
    <x:row r="17" ht="27" customHeight="1">
      <x:c r="A17" s="79" t="str">
        <x:v>INV-3112</x:v>
      </x:c>
      <x:c r="B17" s="80" t="n">
        <x:v>46219</x:v>
      </x:c>
      <x:c r="C17" s="81" t="str">
        <x:v>M.SERVICE</x:v>
      </x:c>
      <x:c r="D17" s="82" t="str">
        <x:v>緊急対応一式（詳細記載なし）</x:v>
      </x:c>
      <x:c r="E17" s="83" t="n">
        <x:v>33000</x:v>
      </x:c>
      <x:c r="F17" s="81" t="str">
        <x:v>四十八漁場 新宿店</x:v>
      </x:c>
      <x:c r="G17" s="84" t="n">
        <x:v>46234</x:v>
      </x:c>
    </x:row>
    <x:row r="18" ht="27" customHeight="1">
      <x:c r="A18" s="85" t="str">
        <x:v>INV-3104-再送</x:v>
      </x:c>
      <x:c r="B18" s="86" t="n">
        <x:v>46217</x:v>
      </x:c>
      <x:c r="C18" s="87" t="str">
        <x:v>アマゾンビジネス</x:v>
      </x:c>
      <x:c r="D18" s="88" t="str">
        <x:v>紙ナプキン・手袋・テイクアウト容器（再送）</x:v>
      </x:c>
      <x:c r="E18" s="89" t="n">
        <x:v>18420</x:v>
      </x:c>
      <x:c r="F18" s="87" t="str">
        <x:v>四十八漁場 新宿店</x:v>
      </x:c>
      <x:c r="G18" s="90" t="n">
        <x:v>46234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f3491a193444896"/>
  </x:tableParts>
</x:worksheet>
</file>