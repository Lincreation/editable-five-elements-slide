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e924229fd844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投影用サマリー" sheetId="1" r:id="R0f45cb71a6004bf8"/>
    <x:sheet xmlns:r="http://schemas.openxmlformats.org/officeDocument/2006/relationships" name="分類結果" sheetId="2" r:id="Rf8cf49e738de4f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14">
    <x:font>
      <x:sz val="11"/>
      <x:name val="Carlito"/>
    </x:font>
    <x:font>
      <x:b/>
      <x:sz val="22"/>
      <x:color rgb="FFFFFFFF"/>
      <x:name val="Carlito"/>
    </x:font>
    <x:font>
      <x:b/>
      <x:sz val="12"/>
      <x:color rgb="FF14243D"/>
      <x:name val="Carlito"/>
    </x:font>
    <x:font>
      <x:b/>
      <x:sz val="12"/>
      <x:color rgb="FF64748B"/>
      <x:name val="Carlito"/>
    </x:font>
    <x:font>
      <x:b/>
      <x:sz val="19"/>
      <x:color rgb="FF14243D"/>
      <x:name val="Carlito"/>
    </x:font>
    <x:font>
      <x:b/>
      <x:sz val="12"/>
      <x:color rgb="FFFFFFFF"/>
      <x:name val="Carlito"/>
    </x:font>
    <x:font>
      <x:sz val="12"/>
      <x:color rgb="FF172033"/>
      <x:name val="Carlito"/>
    </x:font>
    <x:font>
      <x:b/>
      <x:sz val="15"/>
      <x:color rgb="FFFFFFFF"/>
      <x:name val="Carlito"/>
    </x:font>
    <x:font>
      <x:b/>
      <x:sz val="18"/>
      <x:color rgb="FFFFFFFF"/>
      <x:name val="Carlito"/>
    </x:font>
    <x:font>
      <x:i/>
      <x:sz val="10"/>
      <x:color rgb="FF14243D"/>
      <x:name val="Carlito"/>
    </x:font>
    <x:font>
      <x:sz val="10"/>
      <x:color rgb="FF14243D"/>
      <x:name val="Carlito"/>
    </x:font>
    <x:font>
      <x:b/>
      <x:sz val="10"/>
      <x:color rgb="FF64748B"/>
      <x:name val="Carlito"/>
    </x:font>
    <x:font>
      <x:b/>
      <x:sz val="10"/>
      <x:color rgb="FFFFFFFF"/>
      <x:name val="Carlito"/>
    </x:font>
    <x:font>
      <x:sz val="9"/>
      <x:color rgb="FF17203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4243D"/>
      </x:patternFill>
    </x:fill>
    <x:fill>
      <x:patternFill patternType="solid">
        <x:fgColor rgb="FFEAF3F8"/>
      </x:patternFill>
    </x:fill>
    <x:fill>
      <x:patternFill patternType="solid">
        <x:fgColor rgb="FFF8FAFC"/>
      </x:patternFill>
    </x:fill>
    <x:fill>
      <x:patternFill patternType="solid">
        <x:fgColor rgb="FF456FAE"/>
      </x:patternFill>
    </x:fill>
    <x:fill>
      <x:patternFill patternType="solid">
        <x:fgColor rgb="FFFFF4D6"/>
      </x:patternFill>
    </x:fill>
  </x:fills>
  <x:borders count="16">
    <x:border/>
    <x:border>
      <x:left style="thin">
        <x:color rgb="FFD8E3EC"/>
      </x:left>
      <x:top style="thin">
        <x:color rgb="FFD8E3EC"/>
      </x:top>
      <x:bottom style="thin">
        <x:color rgb="FFD8E3EC"/>
      </x:bottom>
    </x:border>
    <x:border>
      <x:top style="thin">
        <x:color rgb="FFD8E3EC"/>
      </x:top>
      <x:bottom style="thin">
        <x:color rgb="FFD8E3EC"/>
      </x:bottom>
    </x:border>
    <x:border>
      <x:right style="thin">
        <x:color rgb="FFD8E3EC"/>
      </x:right>
      <x:top style="thin">
        <x:color rgb="FFD8E3EC"/>
      </x:top>
      <x:bottom style="thin">
        <x:color rgb="FFD8E3EC"/>
      </x:bottom>
    </x:border>
    <x:border>
      <x:right style="thin">
        <x:color rgb="FFD8E3EC"/>
      </x:right>
      <x:bottom style="thin">
        <x:color rgb="FFD8E3EC"/>
      </x:bottom>
    </x:border>
    <x:border>
      <x:left style="thin">
        <x:color rgb="FFD8E3EC"/>
      </x:left>
      <x:right style="thin">
        <x:color rgb="FFD8E3EC"/>
      </x:right>
      <x:bottom style="thin">
        <x:color rgb="FFD8E3EC"/>
      </x:bottom>
    </x:border>
    <x:border>
      <x:left style="thin">
        <x:color rgb="FFD8E3EC"/>
      </x:left>
      <x:bottom style="thin">
        <x:color rgb="FFD8E3EC"/>
      </x:bottom>
    </x:border>
    <x:border>
      <x:right style="thin">
        <x:color rgb="FFD8E3EC"/>
      </x:right>
      <x:top style="thin">
        <x:color rgb="FFD8E3EC"/>
      </x:top>
    </x:border>
    <x:border>
      <x:left style="thin">
        <x:color rgb="FFD8E3EC"/>
      </x:left>
      <x:right style="thin">
        <x:color rgb="FFD8E3EC"/>
      </x:right>
      <x:top style="thin">
        <x:color rgb="FFD8E3EC"/>
      </x:top>
    </x:border>
    <x:border>
      <x:left style="thin">
        <x:color rgb="FFD8E3EC"/>
      </x:left>
      <x:top style="thin">
        <x:color rgb="FFD8E3EC"/>
      </x:top>
    </x:border>
    <x:border>
      <x:top style="thin">
        <x:color rgb="FFD8E3EC"/>
      </x:top>
    </x:border>
    <x:border>
      <x:bottom style="thin">
        <x:color rgb="FFD8E3EC"/>
      </x:bottom>
    </x:border>
    <x:border>
      <x:left style="thin">
        <x:color rgb="FF14243D"/>
      </x:left>
      <x:top style="thin">
        <x:color rgb="FF14243D"/>
      </x:top>
      <x:bottom style="thin">
        <x:color rgb="FF14243D"/>
      </x:bottom>
    </x:border>
    <x:border>
      <x:top style="thin">
        <x:color rgb="FF14243D"/>
      </x:top>
      <x:bottom style="thin">
        <x:color rgb="FF14243D"/>
      </x:bottom>
    </x:border>
    <x:border>
      <x:right style="thin">
        <x:color rgb="FF14243D"/>
      </x:right>
      <x:top style="thin">
        <x:color rgb="FF14243D"/>
      </x:top>
      <x:bottom style="thin">
        <x:color rgb="FF14243D"/>
      </x:bottom>
    </x:border>
    <x:border>
      <x:left style="thin">
        <x:color rgb="FFD8E3EC"/>
      </x:left>
      <x:right style="thin">
        <x:color rgb="FFD8E3EC"/>
      </x:right>
      <x:top style="thin">
        <x:color rgb="FFD8E3EC"/>
      </x:top>
      <x:bottom style="thin">
        <x:color rgb="FFD8E3EC"/>
      </x:bottom>
    </x:border>
  </x:borders>
  <x:cellStyleXfs count="1">
    <x:xf numFmtId="0" fontId="0" fillId="0" borderId="0"/>
  </x:cellStyleXfs>
  <x:cellXfs count="1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3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4" fillId="4" borderId="3" xfId="0" applyNumberFormat="1" applyFont="1" applyFill="1" applyBorder="1" applyAlignment="1">
      <x:alignment horizontal="center" vertical="center"/>
    </x:xf>
    <x:xf numFmtId="200" fontId="4" fillId="4" borderId="2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4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vertical="center" wrapText="1"/>
    </x:xf>
    <x:xf numFmtId="0" fontId="6" fillId="6" borderId="5" xfId="0" applyNumberFormat="1" applyFont="1" applyFill="1" applyBorder="1" applyAlignment="1">
      <x:alignment vertical="center" wrapText="1"/>
    </x:xf>
    <x:xf numFmtId="0" fontId="6" fillId="6" borderId="6" xfId="0" applyNumberFormat="1" applyFont="1" applyFill="1" applyBorder="1" applyAlignment="1">
      <x:alignment vertical="center" wrapText="1"/>
    </x:xf>
    <x:xf numFmtId="0" fontId="6" fillId="6" borderId="7" xfId="0" applyNumberFormat="1" applyFont="1" applyFill="1" applyBorder="1" applyAlignment="1">
      <x:alignment vertical="center" wrapText="1"/>
    </x:xf>
    <x:xf numFmtId="0" fontId="6" fillId="6" borderId="8" xfId="0" applyNumberFormat="1" applyFont="1" applyFill="1" applyBorder="1" applyAlignment="1">
      <x:alignment vertical="center" wrapText="1"/>
    </x:xf>
    <x:xf numFmtId="0" fontId="6" fillId="6" borderId="9" xfId="0" applyNumberFormat="1" applyFont="1" applyFill="1" applyBorder="1" applyAlignment="1">
      <x:alignment vertical="center" wrapText="1"/>
    </x:xf>
    <x:xf numFmtId="200" fontId="6" fillId="6" borderId="5" xfId="0" applyNumberFormat="1" applyFont="1" applyFill="1" applyBorder="1" applyAlignment="1">
      <x:alignment vertical="center" wrapText="1"/>
    </x:xf>
    <x:xf numFmtId="200" fontId="6" fillId="6" borderId="8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vertical="center"/>
    </x:xf>
    <x:xf numFmtId="0" fontId="10" fillId="4" borderId="0" xfId="0" applyNumberFormat="1" applyFont="1" applyFill="1" applyBorder="1"/>
    <x:xf numFmtId="0" fontId="10" fillId="4" borderId="9" xfId="0" applyNumberFormat="1" applyFont="1" applyFill="1" applyBorder="1"/>
    <x:xf numFmtId="0" fontId="10" fillId="4" borderId="10" xfId="0" applyNumberFormat="1" applyFont="1" applyFill="1" applyBorder="1"/>
    <x:xf numFmtId="0" fontId="10" fillId="4" borderId="7" xfId="0" applyNumberFormat="1" applyFont="1" applyFill="1" applyBorder="1"/>
    <x:xf numFmtId="0" fontId="10" fillId="4" borderId="6" xfId="0" applyNumberFormat="1" applyFont="1" applyFill="1" applyBorder="1"/>
    <x:xf numFmtId="0" fontId="10" fillId="4" borderId="11" xfId="0" applyNumberFormat="1" applyFont="1" applyFill="1" applyBorder="1"/>
    <x:xf numFmtId="0" fontId="10" fillId="4" borderId="4" xfId="0" applyNumberFormat="1" applyFont="1" applyFill="1" applyBorder="1"/>
    <x:xf numFmtId="0" fontId="11" fillId="4" borderId="9" xfId="0" applyNumberFormat="1" applyFont="1" applyFill="1" applyBorder="1"/>
    <x:xf numFmtId="0" fontId="2" fillId="4" borderId="10" xfId="0" applyNumberFormat="1" applyFont="1" applyFill="1" applyBorder="1"/>
    <x:xf numFmtId="200" fontId="2" fillId="4" borderId="10" xfId="0" applyNumberFormat="1" applyFont="1" applyFill="1" applyBorder="1"/>
    <x:xf numFmtId="0" fontId="12" fillId="5" borderId="0" xfId="0" applyNumberFormat="1" applyFont="1" applyFill="1" applyBorder="1"/>
    <x:xf numFmtId="0" fontId="12" fillId="5" borderId="12" xfId="0" applyNumberFormat="1" applyFont="1" applyFill="1" applyBorder="1"/>
    <x:xf numFmtId="0" fontId="12" fillId="5" borderId="13" xfId="0" applyNumberFormat="1" applyFont="1" applyFill="1" applyBorder="1"/>
    <x:xf numFmtId="0" fontId="12" fillId="5" borderId="14" xfId="0" applyNumberFormat="1" applyFont="1" applyFill="1" applyBorder="1"/>
    <x:xf numFmtId="0" fontId="12" fillId="5" borderId="12" xfId="0" applyNumberFormat="1" applyFont="1" applyFill="1" applyBorder="1" applyAlignment="1">
      <x:alignment wrapText="1"/>
    </x:xf>
    <x:xf numFmtId="0" fontId="12" fillId="5" borderId="13" xfId="0" applyNumberFormat="1" applyFont="1" applyFill="1" applyBorder="1" applyAlignment="1">
      <x:alignment wrapText="1"/>
    </x:xf>
    <x:xf numFmtId="0" fontId="12" fillId="5" borderId="14" xfId="0" applyNumberFormat="1" applyFont="1" applyFill="1" applyBorder="1" applyAlignment="1">
      <x:alignment wrapText="1"/>
    </x:xf>
    <x:xf numFmtId="0" fontId="12" fillId="5" borderId="12" xfId="0" applyNumberFormat="1" applyFont="1" applyFill="1" applyBorder="1" applyAlignment="1">
      <x:alignment horizontal="center" wrapText="1"/>
    </x:xf>
    <x:xf numFmtId="0" fontId="12" fillId="5" borderId="13" xfId="0" applyNumberFormat="1" applyFont="1" applyFill="1" applyBorder="1" applyAlignment="1">
      <x:alignment horizontal="center" wrapText="1"/>
    </x:xf>
    <x:xf numFmtId="0" fontId="12" fillId="5" borderId="14" xfId="0" applyNumberFormat="1" applyFont="1" applyFill="1" applyBorder="1" applyAlignment="1">
      <x:alignment horizontal="center" wrapText="1"/>
    </x:xf>
    <x:xf numFmtId="0" fontId="12" fillId="5" borderId="12" xfId="0" applyNumberFormat="1" applyFont="1" applyFill="1" applyBorder="1" applyAlignment="1">
      <x:alignment horizontal="center" vertical="center" wrapText="1"/>
    </x:xf>
    <x:xf numFmtId="0" fontId="12" fillId="5" borderId="13" xfId="0" applyNumberFormat="1" applyFont="1" applyFill="1" applyBorder="1" applyAlignment="1">
      <x:alignment horizontal="center" vertical="center" wrapText="1"/>
    </x:xf>
    <x:xf numFmtId="0" fontId="12" fillId="5" borderId="14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/>
    <x:xf numFmtId="0" fontId="13" fillId="0" borderId="4" xfId="0" applyNumberFormat="1" applyFont="1" applyFill="1" applyBorder="1"/>
    <x:xf numFmtId="0" fontId="13" fillId="0" borderId="5" xfId="0" applyNumberFormat="1" applyFont="1" applyFill="1" applyBorder="1"/>
    <x:xf numFmtId="0" fontId="13" fillId="0" borderId="6" xfId="0" applyNumberFormat="1" applyFont="1" applyFill="1" applyBorder="1"/>
    <x:xf numFmtId="0" fontId="13" fillId="0" borderId="3" xfId="0" applyNumberFormat="1" applyFont="1" applyFill="1" applyBorder="1"/>
    <x:xf numFmtId="0" fontId="13" fillId="0" borderId="15" xfId="0" applyNumberFormat="1" applyFont="1" applyFill="1" applyBorder="1"/>
    <x:xf numFmtId="0" fontId="13" fillId="0" borderId="1" xfId="0" applyNumberFormat="1" applyFont="1" applyFill="1" applyBorder="1"/>
    <x:xf numFmtId="0" fontId="13" fillId="0" borderId="7" xfId="0" applyNumberFormat="1" applyFont="1" applyFill="1" applyBorder="1"/>
    <x:xf numFmtId="0" fontId="13" fillId="0" borderId="8" xfId="0" applyNumberFormat="1" applyFont="1" applyFill="1" applyBorder="1"/>
    <x:xf numFmtId="0" fontId="13" fillId="0" borderId="9" xfId="0" applyNumberFormat="1" applyFont="1" applyFill="1" applyBorder="1"/>
    <x:xf numFmtId="0" fontId="13" fillId="0" borderId="4" xfId="0" applyNumberFormat="1" applyFont="1" applyFill="1" applyBorder="1" applyAlignment="1">
      <x:alignment vertical="center"/>
    </x:xf>
    <x:xf numFmtId="0" fontId="13" fillId="0" borderId="5" xfId="0" applyNumberFormat="1" applyFont="1" applyFill="1" applyBorder="1" applyAlignment="1">
      <x:alignment vertical="center"/>
    </x:xf>
    <x:xf numFmtId="0" fontId="13" fillId="0" borderId="6" xfId="0" applyNumberFormat="1" applyFont="1" applyFill="1" applyBorder="1" applyAlignment="1">
      <x:alignment vertical="center"/>
    </x:xf>
    <x:xf numFmtId="0" fontId="13" fillId="0" borderId="3" xfId="0" applyNumberFormat="1" applyFont="1" applyFill="1" applyBorder="1" applyAlignment="1">
      <x:alignment vertical="center"/>
    </x:xf>
    <x:xf numFmtId="0" fontId="13" fillId="0" borderId="15" xfId="0" applyNumberFormat="1" applyFont="1" applyFill="1" applyBorder="1" applyAlignment="1">
      <x:alignment vertical="center"/>
    </x:xf>
    <x:xf numFmtId="0" fontId="13" fillId="0" borderId="1" xfId="0" applyNumberFormat="1" applyFont="1" applyFill="1" applyBorder="1" applyAlignment="1">
      <x:alignment vertical="center"/>
    </x:xf>
    <x:xf numFmtId="0" fontId="13" fillId="0" borderId="7" xfId="0" applyNumberFormat="1" applyFont="1" applyFill="1" applyBorder="1" applyAlignment="1">
      <x:alignment vertical="center"/>
    </x:xf>
    <x:xf numFmtId="0" fontId="13" fillId="0" borderId="8" xfId="0" applyNumberFormat="1" applyFont="1" applyFill="1" applyBorder="1" applyAlignment="1">
      <x:alignment vertical="center"/>
    </x:xf>
    <x:xf numFmtId="0" fontId="13" fillId="0" borderId="9" xfId="0" applyNumberFormat="1" applyFont="1" applyFill="1" applyBorder="1" applyAlignment="1">
      <x:alignment vertical="center"/>
    </x:xf>
    <x:xf numFmtId="0" fontId="13" fillId="0" borderId="5" xfId="0" applyNumberFormat="1" applyFont="1" applyFill="1" applyBorder="1" applyAlignment="1">
      <x:alignment vertical="center" wrapText="1"/>
    </x:xf>
    <x:xf numFmtId="0" fontId="13" fillId="0" borderId="15" xfId="0" applyNumberFormat="1" applyFont="1" applyFill="1" applyBorder="1" applyAlignment="1">
      <x:alignment vertical="center" wrapText="1"/>
    </x:xf>
    <x:xf numFmtId="0" fontId="13" fillId="0" borderId="8" xfId="0" applyNumberFormat="1" applyFont="1" applyFill="1" applyBorder="1" applyAlignment="1">
      <x:alignment vertical="center" wrapText="1"/>
    </x:xf>
    <x:xf numFmtId="200" fontId="13" fillId="0" borderId="5" xfId="0" applyNumberFormat="1" applyFont="1" applyFill="1" applyBorder="1" applyAlignment="1">
      <x:alignment vertical="center" wrapText="1"/>
    </x:xf>
    <x:xf numFmtId="200" fontId="13" fillId="0" borderId="15" xfId="0" applyNumberFormat="1" applyFont="1" applyFill="1" applyBorder="1" applyAlignment="1">
      <x:alignment vertical="center" wrapText="1"/>
    </x:xf>
    <x:xf numFmtId="200" fontId="13" fillId="0" borderId="8" xfId="0" applyNumberFormat="1" applyFont="1" applyFill="1" applyBorder="1" applyAlignment="1">
      <x:alignment vertical="center" wrapText="1"/>
    </x:xf>
    <x:xf numFmtId="0" fontId="13" fillId="6" borderId="3" xfId="0" applyNumberFormat="1" applyFont="1" applyFill="1" applyBorder="1" applyAlignment="1">
      <x:alignment vertical="center"/>
    </x:xf>
    <x:xf numFmtId="0" fontId="13" fillId="6" borderId="15" xfId="0" applyNumberFormat="1" applyFont="1" applyFill="1" applyBorder="1" applyAlignment="1">
      <x:alignment vertical="center"/>
    </x:xf>
    <x:xf numFmtId="0" fontId="13" fillId="6" borderId="15" xfId="0" applyNumberFormat="1" applyFont="1" applyFill="1" applyBorder="1" applyAlignment="1">
      <x:alignment vertical="center" wrapText="1"/>
    </x:xf>
    <x:xf numFmtId="200" fontId="13" fillId="6" borderId="15" xfId="0" applyNumberFormat="1" applyFont="1" applyFill="1" applyBorder="1" applyAlignment="1">
      <x:alignment vertical="center" wrapText="1"/>
    </x:xf>
    <x:xf numFmtId="0" fontId="13" fillId="6" borderId="1" xfId="0" applyNumberFormat="1" applyFont="1" applyFill="1" applyBorder="1" applyAlignment="1">
      <x:alignment vertical="center"/>
    </x:xf>
    <x:xf numFmtId="0" fontId="13" fillId="6" borderId="7" xfId="0" applyNumberFormat="1" applyFont="1" applyFill="1" applyBorder="1" applyAlignment="1">
      <x:alignment vertical="center"/>
    </x:xf>
    <x:xf numFmtId="0" fontId="13" fillId="6" borderId="8" xfId="0" applyNumberFormat="1" applyFont="1" applyFill="1" applyBorder="1" applyAlignment="1">
      <x:alignment vertical="center"/>
    </x:xf>
    <x:xf numFmtId="0" fontId="13" fillId="6" borderId="8" xfId="0" applyNumberFormat="1" applyFont="1" applyFill="1" applyBorder="1" applyAlignment="1">
      <x:alignment vertical="center" wrapText="1"/>
    </x:xf>
    <x:xf numFmtId="200" fontId="13" fillId="6" borderId="8" xfId="0" applyNumberFormat="1" applyFont="1" applyFill="1" applyBorder="1" applyAlignment="1">
      <x:alignment vertical="center" wrapText="1"/>
    </x:xf>
    <x:xf numFmtId="0" fontId="13" fillId="6" borderId="9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6c3082a6444e38" /><Relationship Type="http://schemas.openxmlformats.org/officeDocument/2006/relationships/theme" Target="/xl/theme/theme1.xml" Id="Rb7698a2938164e24" /><Relationship Type="http://schemas.openxmlformats.org/officeDocument/2006/relationships/sharedStrings" Target="/xl/sharedStrings.xml" Id="R10745bda1a6441df" /><Relationship Type="http://schemas.openxmlformats.org/officeDocument/2006/relationships/worksheet" Target="/xl/worksheets/sheet1.xml" Id="R0f45cb71a6004bf8" /><Relationship Type="http://schemas.openxmlformats.org/officeDocument/2006/relationships/worksheet" Target="/xl/worksheets/sheet2.xml" Id="Rf8cf49e738de4f2d" /></Relationships>
</file>

<file path=xl/tables/table1.xml><?xml version="1.0" encoding="utf-8"?>
<x:table xmlns:x="http://schemas.openxmlformats.org/spreadsheetml/2006/main" id="1" name="ClassifiedResultTable" displayName="ClassifiedResultTable" ref="A5:L18" headerRowCount="1" totalsRowCount="0" totalsRowShown="0">
  <x:tableColumns count="12">
    <x:tableColumn id="1" name="表示順"/>
    <x:tableColumn id="2" name="部門コード"/>
    <x:tableColumn id="3" name="部門"/>
    <x:tableColumn id="4" name="請求書ID"/>
    <x:tableColumn id="5" name="取引先表記"/>
    <x:tableColumn id="6" name="摘要"/>
    <x:tableColumn id="7" name="金額"/>
    <x:tableColumn id="8" name="判定理由"/>
    <x:tableColumn id="9" name="確信度"/>
    <x:tableColumn id="10" name="要確認"/>
    <x:tableColumn id="11" name="重複判定"/>
    <x:tableColumn id="12" name="確認質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6194d5aa7640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6" hidden="0" customWidth="1"/>
    <x:col min="4" max="4" width="38" hidden="0" customWidth="1"/>
    <x:col min="5" max="5" width="14" hidden="0" customWidth="1"/>
    <x:col min="6" max="6" width="36" hidden="0" customWidth="1"/>
    <x:col min="7" max="7" width="12" hidden="0" customWidth="1"/>
    <x:col min="8" max="8" width="42" hidden="0" customWidth="1"/>
  </x:cols>
  <x:sheetData>
    <x:row r="1" ht="42" customHeight="1">
      <x:c r="A1" s="3" t="str">
        <x:v>AI Sheets実演バックアップ｜投影用サマリー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講師が作成した固定例です。Gensparkの実生成結果ではなく、確認方法を説明するために使用します。</x:v>
      </x:c>
      <x:c r="B2" s="7"/>
      <x:c r="C2" s="7"/>
      <x:c r="D2" s="7"/>
      <x:c r="E2" s="7"/>
      <x:c r="F2" s="7"/>
      <x:c r="G2" s="7"/>
      <x:c r="H2" s="7"/>
    </x:row>
    <x:row r="4" ht="26" customHeight="1">
      <x:c r="A4" s="16" t="str">
        <x:v>入力明細</x:v>
      </x:c>
      <x:c r="B4" s="17"/>
      <x:c r="C4" s="17" t="str">
        <x:v>入力総額</x:v>
      </x:c>
      <x:c r="D4" s="17"/>
      <x:c r="E4" s="17" t="str">
        <x:v>出力総額</x:v>
      </x:c>
      <x:c r="F4" s="17"/>
      <x:c r="G4" s="17" t="str">
        <x:v>差額</x:v>
      </x:c>
      <x:c r="H4" s="18"/>
    </x:row>
    <x:row r="5" ht="34" customHeight="1">
      <x:c r="A5" s="26" t="n">
        <x:v>13</x:v>
      </x:c>
      <x:c r="B5" s="27"/>
      <x:c r="C5" s="29" t="n">
        <x:v>858640</x:v>
      </x:c>
      <x:c r="D5" s="27"/>
      <x:c r="E5" s="27" t="n">
        <x:f>SUM('分類結果'!G6:G18)</x:f>
        <x:v>858640</x:v>
      </x:c>
      <x:c r="F5" s="27"/>
      <x:c r="G5" s="27" t="n">
        <x:f>E5-C5</x:f>
        <x:v>0</x:v>
      </x:c>
      <x:c r="H5" s="28"/>
    </x:row>
    <x:row r="7" ht="32" customHeight="1">
      <x:c r="A7" s="34" t="str">
        <x:v>判定</x:v>
      </x:c>
      <x:c r="B7" s="34" t="str">
        <x:v>請求書ID</x:v>
      </x:c>
      <x:c r="C7" s="34" t="str">
        <x:v>取引先表記</x:v>
      </x:c>
      <x:c r="D7" s="34" t="str">
        <x:v>摘要</x:v>
      </x:c>
      <x:c r="E7" s="34" t="str">
        <x:v>金額</x:v>
      </x:c>
      <x:c r="F7" s="34" t="str">
        <x:v>判定理由</x:v>
      </x:c>
      <x:c r="G7" s="34" t="str">
        <x:v>確信度</x:v>
      </x:c>
      <x:c r="H7" s="34" t="str">
        <x:v>確認質問</x:v>
      </x:c>
    </x:row>
    <x:row r="8" ht="54" customHeight="1">
      <x:c r="A8" s="49" t="str">
        <x:v>要確認</x:v>
      </x:c>
      <x:c r="B8" s="50" t="str">
        <x:v>INV-3112</x:v>
      </x:c>
      <x:c r="C8" s="50" t="str">
        <x:v>研修取引先L（詳細不明）</x:v>
      </x:c>
      <x:c r="D8" s="50" t="str">
        <x:v>緊急対応一式（詳細記載なし）</x:v>
      </x:c>
      <x:c r="E8" s="55" t="n">
        <x:v>33000</x:v>
      </x:c>
      <x:c r="F8" s="50" t="str">
        <x:v>摘要だけでは部門を特定できない</x:v>
      </x:c>
      <x:c r="G8" s="50" t="str">
        <x:v>低</x:v>
      </x:c>
      <x:c r="H8" s="51" t="str">
        <x:v>発注者と原票の作業内容を確認してください。</x:v>
      </x:c>
    </x:row>
    <x:row r="9" ht="54" customHeight="1">
      <x:c r="A9" s="52" t="str">
        <x:v>重複候補</x:v>
      </x:c>
      <x:c r="B9" s="53" t="str">
        <x:v>INV-3104-再送</x:v>
      </x:c>
      <x:c r="C9" s="53" t="str">
        <x:v>トレーニングEC-D</x:v>
      </x:c>
      <x:c r="D9" s="53" t="str">
        <x:v>消耗品一式（再送）</x:v>
      </x:c>
      <x:c r="E9" s="56" t="n">
        <x:v>18420</x:v>
      </x:c>
      <x:c r="F9" s="53" t="str">
        <x:v>同額・同内容・再送表記</x:v>
      </x:c>
      <x:c r="G9" s="53" t="str">
        <x:v>中</x:v>
      </x:c>
      <x:c r="H9" s="54" t="str">
        <x:v>元請求書の計上状況を確認してください。</x:v>
      </x:c>
    </x:row>
    <x:row r="11" ht="38" customHeight="1">
      <x:c r="A11" s="59" t="str">
        <x:v>見る順番：例外2件 → 確認質問 → 入力/出力総額 → 差額0円</x:v>
      </x:c>
      <x:c r="B11" s="59"/>
      <x:c r="C11" s="59"/>
      <x:c r="D11" s="59"/>
      <x:c r="E11" s="59"/>
      <x:c r="F11" s="59"/>
      <x:c r="G11" s="59"/>
      <x:c r="H11" s="59"/>
    </x:row>
  </x:sheetData>
  <x:mergeCells>
    <x:mergeCell ref="A1:H1"/>
    <x:mergeCell ref="A2:H2"/>
    <x:mergeCell ref="A4:B4"/>
    <x:mergeCell ref="C4:D4"/>
    <x:mergeCell ref="E4:F4"/>
    <x:mergeCell ref="G4:H4"/>
    <x:mergeCell ref="A5:B5"/>
    <x:mergeCell ref="C5:D5"/>
    <x:mergeCell ref="E5:F5"/>
    <x:mergeCell ref="G5:H5"/>
    <x:mergeCell ref="A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4" hidden="0" customWidth="1"/>
    <x:col min="3" max="3" width="18" hidden="0" customWidth="1"/>
    <x:col min="4" max="4" width="18" hidden="0" customWidth="1"/>
    <x:col min="5" max="5" width="24" hidden="0" customWidth="1"/>
    <x:col min="6" max="6" width="38" hidden="0" customWidth="1"/>
    <x:col min="7" max="7" width="13" hidden="0" customWidth="1"/>
    <x:col min="8" max="8" width="36" hidden="0" customWidth="1"/>
    <x:col min="9" max="9" width="14" hidden="0" customWidth="1"/>
    <x:col min="10" max="10" width="14" hidden="0" customWidth="1"/>
    <x:col min="11" max="11" width="14" hidden="0" customWidth="1"/>
    <x:col min="12" max="12" width="40" hidden="0" customWidth="1"/>
  </x:cols>
  <x:sheetData>
    <x:row r="1" ht="34" customHeight="1">
      <x:c r="A1" s="61" t="str">
        <x:v>AI Sheets実演｜分類結果バックアップ（架空データ）</x:v>
      </x:c>
      <x:c r="B1" s="61"/>
      <x:c r="C1" s="61"/>
      <x:c r="D1" s="61"/>
      <x:c r="E1" s="61"/>
      <x:c r="F1" s="61"/>
      <x:c r="G1" s="61"/>
      <x:c r="H1" s="61"/>
      <x:c r="I1" s="61"/>
      <x:c r="J1" s="61"/>
      <x:c r="K1" s="61"/>
      <x:c r="L1" s="61"/>
    </x:row>
    <x:row r="2" ht="26" customHeight="1">
      <x:c r="A2" s="63" t="str">
        <x:v>ライブ生成が間に合わない時に使用。AIの正解例ではなく、人が確認するための期待表示です。</x:v>
      </x:c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</x:row>
    <x:row r="3">
      <x:c r="A3" s="71" t="str">
        <x:v>入力総額</x:v>
      </x:c>
      <x:c r="B3" s="73" t="n">
        <x:v>858640</x:v>
      </x:c>
      <x:c r="C3" s="66" t="str">
        <x:v>出力総額</x:v>
      </x:c>
      <x:c r="D3" s="66" t="n">
        <x:f>SUM(G6:G18)</x:f>
        <x:v>858640</x:v>
      </x:c>
      <x:c r="E3" s="66" t="str">
        <x:v>差額</x:v>
      </x:c>
      <x:c r="F3" s="66" t="n">
        <x:f>D3-B3</x:f>
        <x:v>0</x:v>
      </x:c>
      <x:c r="G3" s="66" t="str">
        <x:v>明細件数</x:v>
      </x:c>
      <x:c r="H3" s="67" t="n">
        <x:f>COUNTA(D6:D18)</x:f>
        <x:v>13</x:v>
      </x:c>
    </x:row>
    <x:row r="4">
      <x:c r="A4" s="68" t="str">
        <x:v>要確認件数</x:v>
      </x:c>
      <x:c r="B4" s="69" t="n">
        <x:f>COUNTIF(J6:J18,"要確認")</x:f>
        <x:v>2</x:v>
      </x:c>
      <x:c r="C4" s="69" t="str">
        <x:v>重複候補件数</x:v>
      </x:c>
      <x:c r="D4" s="69" t="n">
        <x:f>COUNTIF(K6:K18,"重複候補")</x:f>
        <x:v>1</x:v>
      </x:c>
      <x:c r="E4" s="69"/>
      <x:c r="F4" s="69"/>
      <x:c r="G4" s="69"/>
      <x:c r="H4" s="70"/>
    </x:row>
    <x:row r="5" ht="30" customHeight="1">
      <x:c r="A5" s="84" t="str">
        <x:v>表示順</x:v>
      </x:c>
      <x:c r="B5" s="85" t="str">
        <x:v>部門コード</x:v>
      </x:c>
      <x:c r="C5" s="85" t="str">
        <x:v>部門</x:v>
      </x:c>
      <x:c r="D5" s="85" t="str">
        <x:v>請求書ID</x:v>
      </x:c>
      <x:c r="E5" s="85" t="str">
        <x:v>取引先表記</x:v>
      </x:c>
      <x:c r="F5" s="85" t="str">
        <x:v>摘要</x:v>
      </x:c>
      <x:c r="G5" s="85" t="str">
        <x:v>金額</x:v>
      </x:c>
      <x:c r="H5" s="85" t="str">
        <x:v>判定理由</x:v>
      </x:c>
      <x:c r="I5" s="85" t="str">
        <x:v>確信度</x:v>
      </x:c>
      <x:c r="J5" s="85" t="str">
        <x:v>要確認</x:v>
      </x:c>
      <x:c r="K5" s="85" t="str">
        <x:v>重複判定</x:v>
      </x:c>
      <x:c r="L5" s="86" t="str">
        <x:v>確認質問</x:v>
      </x:c>
    </x:row>
    <x:row r="6" ht="29" customHeight="1">
      <x:c r="A6" s="97" t="n">
        <x:v>1</x:v>
      </x:c>
      <x:c r="B6" s="98" t="str">
        <x:v>FOOD</x:v>
      </x:c>
      <x:c r="C6" s="98" t="str">
        <x:v>食材・ドリンク</x:v>
      </x:c>
      <x:c r="D6" s="98" t="str">
        <x:v>INV-3102</x:v>
      </x:c>
      <x:c r="E6" s="98" t="str">
        <x:v>研修取引先A（酒販）</x:v>
      </x:c>
      <x:c r="F6" s="106" t="str">
        <x:v>ビール・日本酒 週次納品</x:v>
      </x:c>
      <x:c r="G6" s="109" t="n">
        <x:v>132800</x:v>
      </x:c>
      <x:c r="H6" s="106" t="str">
        <x:v>酒類の週次仕入</x:v>
      </x:c>
      <x:c r="I6" s="98" t="str">
        <x:v>高</x:v>
      </x:c>
      <x:c r="J6" s="98" t="str"/>
      <x:c r="K6" s="98" t="str"/>
      <x:c r="L6" s="99" t="str"/>
    </x:row>
    <x:row r="7" ht="29" customHeight="1">
      <x:c r="A7" s="100" t="n">
        <x:v>1</x:v>
      </x:c>
      <x:c r="B7" s="101" t="str">
        <x:v>FOOD</x:v>
      </x:c>
      <x:c r="C7" s="101" t="str">
        <x:v>食材・ドリンク</x:v>
      </x:c>
      <x:c r="D7" s="101" t="str">
        <x:v>INV-3101</x:v>
      </x:c>
      <x:c r="E7" s="101" t="str">
        <x:v>研修取引先B（食材）</x:v>
      </x:c>
      <x:c r="F7" s="107" t="str">
        <x:v>鮮魚・青果 週次仕入</x:v>
      </x:c>
      <x:c r="G7" s="110" t="n">
        <x:v>184500</x:v>
      </x:c>
      <x:c r="H7" s="107" t="str">
        <x:v>食材の週次仕入</x:v>
      </x:c>
      <x:c r="I7" s="101" t="str">
        <x:v>高</x:v>
      </x:c>
      <x:c r="J7" s="101" t="str"/>
      <x:c r="K7" s="101" t="str"/>
      <x:c r="L7" s="102" t="str"/>
    </x:row>
    <x:row r="8" ht="29" customHeight="1">
      <x:c r="A8" s="100" t="n">
        <x:v>1</x:v>
      </x:c>
      <x:c r="B8" s="101" t="str">
        <x:v>FOOD</x:v>
      </x:c>
      <x:c r="C8" s="101" t="str">
        <x:v>食材・ドリンク</x:v>
      </x:c>
      <x:c r="D8" s="101" t="str">
        <x:v>INV-3103</x:v>
      </x:c>
      <x:c r="E8" s="101" t="str">
        <x:v>研修取引先C（冷凍食材）</x:v>
      </x:c>
      <x:c r="F8" s="107" t="str">
        <x:v>冷凍食材・調味料</x:v>
      </x:c>
      <x:c r="G8" s="110" t="n">
        <x:v>57200</x:v>
      </x:c>
      <x:c r="H8" s="107" t="str">
        <x:v>食材・調味料</x:v>
      </x:c>
      <x:c r="I8" s="101" t="str">
        <x:v>高</x:v>
      </x:c>
      <x:c r="J8" s="101" t="str"/>
      <x:c r="K8" s="101" t="str"/>
      <x:c r="L8" s="102" t="str"/>
    </x:row>
    <x:row r="9" ht="29" customHeight="1">
      <x:c r="A9" s="100" t="n">
        <x:v>2</x:v>
      </x:c>
      <x:c r="B9" s="101" t="str">
        <x:v>SUP</x:v>
      </x:c>
      <x:c r="C9" s="101" t="str">
        <x:v>店舗消耗品</x:v>
      </x:c>
      <x:c r="D9" s="101" t="str">
        <x:v>INV-3104</x:v>
      </x:c>
      <x:c r="E9" s="101" t="str">
        <x:v>TRAINING EC-D</x:v>
      </x:c>
      <x:c r="F9" s="107" t="str">
        <x:v>紙ナプキン・手袋・テイクアウト容器</x:v>
      </x:c>
      <x:c r="G9" s="110" t="n">
        <x:v>18420</x:v>
      </x:c>
      <x:c r="H9" s="107" t="str">
        <x:v>店舗で使う消耗品</x:v>
      </x:c>
      <x:c r="I9" s="101" t="str">
        <x:v>高</x:v>
      </x:c>
      <x:c r="J9" s="101" t="str"/>
      <x:c r="K9" s="101" t="str">
        <x:v>元候補</x:v>
      </x:c>
      <x:c r="L9" s="102" t="str"/>
    </x:row>
    <x:row r="10" ht="29" customHeight="1">
      <x:c r="A10" s="112" t="n">
        <x:v>2</x:v>
      </x:c>
      <x:c r="B10" s="113" t="str">
        <x:v>SUP</x:v>
      </x:c>
      <x:c r="C10" s="113" t="str">
        <x:v>店舗消耗品</x:v>
      </x:c>
      <x:c r="D10" s="113" t="str">
        <x:v>INV-3104-再送</x:v>
      </x:c>
      <x:c r="E10" s="113" t="str">
        <x:v>トレーニングEC-D</x:v>
      </x:c>
      <x:c r="F10" s="114" t="str">
        <x:v>紙ナプキン・手袋・テイクアウト容器（再送）</x:v>
      </x:c>
      <x:c r="G10" s="115" t="n">
        <x:v>18420</x:v>
      </x:c>
      <x:c r="H10" s="114" t="str">
        <x:v>同額・同内容・再送表記</x:v>
      </x:c>
      <x:c r="I10" s="113" t="str">
        <x:v>中</x:v>
      </x:c>
      <x:c r="J10" s="113" t="str">
        <x:v>要確認</x:v>
      </x:c>
      <x:c r="K10" s="113" t="str">
        <x:v>重複候補</x:v>
      </x:c>
      <x:c r="L10" s="116" t="str">
        <x:v>元請求書の計上状況を確認してください。</x:v>
      </x:c>
    </x:row>
    <x:row r="11" ht="29" customHeight="1">
      <x:c r="A11" s="100" t="n">
        <x:v>3</x:v>
      </x:c>
      <x:c r="B11" s="101" t="str">
        <x:v>MAINT</x:v>
      </x:c>
      <x:c r="C11" s="101" t="str">
        <x:v>修繕・保守</x:v>
      </x:c>
      <x:c r="D11" s="101" t="str">
        <x:v>INV-3105</x:v>
      </x:c>
      <x:c r="E11" s="101" t="str">
        <x:v>研修取引先E（厨房保守）</x:v>
      </x:c>
      <x:c r="F11" s="107" t="str">
        <x:v>冷蔵庫温度異常・部品交換</x:v>
      </x:c>
      <x:c r="G11" s="110" t="n">
        <x:v>55000</x:v>
      </x:c>
      <x:c r="H11" s="107" t="str">
        <x:v>厨房設備の部品交換</x:v>
      </x:c>
      <x:c r="I11" s="101" t="str">
        <x:v>高</x:v>
      </x:c>
      <x:c r="J11" s="101" t="str"/>
      <x:c r="K11" s="101" t="str"/>
      <x:c r="L11" s="102" t="str"/>
    </x:row>
    <x:row r="12" ht="29" customHeight="1">
      <x:c r="A12" s="100" t="n">
        <x:v>4</x:v>
      </x:c>
      <x:c r="B12" s="101" t="str">
        <x:v>MKT</x:v>
      </x:c>
      <x:c r="C12" s="101" t="str">
        <x:v>販促</x:v>
      </x:c>
      <x:c r="D12" s="101" t="str">
        <x:v>INV-3108</x:v>
      </x:c>
      <x:c r="E12" s="101" t="str">
        <x:v>研修取引先F（販促制作）</x:v>
      </x:c>
      <x:c r="F12" s="107" t="str">
        <x:v>夏フェア店頭バナー新規制作</x:v>
      </x:c>
      <x:c r="G12" s="110" t="n">
        <x:v>66000</x:v>
      </x:c>
      <x:c r="H12" s="107" t="str">
        <x:v>店頭販促物の新規制作</x:v>
      </x:c>
      <x:c r="I12" s="101" t="str">
        <x:v>高</x:v>
      </x:c>
      <x:c r="J12" s="101" t="str"/>
      <x:c r="K12" s="101" t="str"/>
      <x:c r="L12" s="102" t="str"/>
    </x:row>
    <x:row r="13" ht="29" customHeight="1">
      <x:c r="A13" s="100" t="n">
        <x:v>5</x:v>
      </x:c>
      <x:c r="B13" s="101" t="str">
        <x:v>CLEAN</x:v>
      </x:c>
      <x:c r="C13" s="101" t="str">
        <x:v>衛生・清掃</x:v>
      </x:c>
      <x:c r="D13" s="101" t="str">
        <x:v>INV-3106</x:v>
      </x:c>
      <x:c r="E13" s="101" t="str">
        <x:v>研修取引先G（清掃）</x:v>
      </x:c>
      <x:c r="F13" s="107" t="str">
        <x:v>グリストラップ定期清掃</x:v>
      </x:c>
      <x:c r="G13" s="110" t="n">
        <x:v>44000</x:v>
      </x:c>
      <x:c r="H13" s="107" t="str">
        <x:v>店舗の定期清掃</x:v>
      </x:c>
      <x:c r="I13" s="101" t="str">
        <x:v>高</x:v>
      </x:c>
      <x:c r="J13" s="101" t="str"/>
      <x:c r="K13" s="101" t="str"/>
      <x:c r="L13" s="102" t="str"/>
    </x:row>
    <x:row r="14" ht="29" customHeight="1">
      <x:c r="A14" s="100" t="n">
        <x:v>5</x:v>
      </x:c>
      <x:c r="B14" s="101" t="str">
        <x:v>CLEAN</x:v>
      </x:c>
      <x:c r="C14" s="101" t="str">
        <x:v>衛生・清掃</x:v>
      </x:c>
      <x:c r="D14" s="101" t="str">
        <x:v>INV-3107</x:v>
      </x:c>
      <x:c r="E14" s="101" t="str">
        <x:v>研修取引先H（衛生）</x:v>
      </x:c>
      <x:c r="F14" s="107" t="str">
        <x:v>害虫防除・衛生点検</x:v>
      </x:c>
      <x:c r="G14" s="110" t="n">
        <x:v>29700</x:v>
      </x:c>
      <x:c r="H14" s="107" t="str">
        <x:v>衛生点検と害虫防除</x:v>
      </x:c>
      <x:c r="I14" s="101" t="str">
        <x:v>高</x:v>
      </x:c>
      <x:c r="J14" s="101" t="str"/>
      <x:c r="K14" s="101" t="str"/>
      <x:c r="L14" s="102" t="str"/>
    </x:row>
    <x:row r="15" ht="29" customHeight="1">
      <x:c r="A15" s="100" t="n">
        <x:v>6</x:v>
      </x:c>
      <x:c r="B15" s="101" t="str">
        <x:v>HR</x:v>
      </x:c>
      <x:c r="C15" s="101" t="str">
        <x:v>採用・教育</x:v>
      </x:c>
      <x:c r="D15" s="101" t="str">
        <x:v>INV-3110</x:v>
      </x:c>
      <x:c r="E15" s="101" t="str">
        <x:v>研修取引先I（人材）</x:v>
      </x:c>
      <x:c r="F15" s="107" t="str">
        <x:v>アルバイト求人掲載 7月分</x:v>
      </x:c>
      <x:c r="G15" s="110" t="n">
        <x:v>88000</x:v>
      </x:c>
      <x:c r="H15" s="107" t="str">
        <x:v>求人掲載費</x:v>
      </x:c>
      <x:c r="I15" s="101" t="str">
        <x:v>高</x:v>
      </x:c>
      <x:c r="J15" s="101" t="str"/>
      <x:c r="K15" s="101" t="str"/>
      <x:c r="L15" s="102" t="str"/>
    </x:row>
    <x:row r="16" ht="29" customHeight="1">
      <x:c r="A16" s="100" t="n">
        <x:v>7</x:v>
      </x:c>
      <x:c r="B16" s="101" t="str">
        <x:v>UTIL</x:v>
      </x:c>
      <x:c r="C16" s="101" t="str">
        <x:v>水道光熱</x:v>
      </x:c>
      <x:c r="D16" s="101" t="str">
        <x:v>INV-3109</x:v>
      </x:c>
      <x:c r="E16" s="101" t="str">
        <x:v>研修取引先J（電力）</x:v>
      </x:c>
      <x:c r="F16" s="107" t="str">
        <x:v>店舗電気料金 6月使用分</x:v>
      </x:c>
      <x:c r="G16" s="110" t="n">
        <x:v>96400</x:v>
      </x:c>
      <x:c r="H16" s="107" t="str">
        <x:v>店舗の電気料金</x:v>
      </x:c>
      <x:c r="I16" s="101" t="str">
        <x:v>高</x:v>
      </x:c>
      <x:c r="J16" s="101" t="str"/>
      <x:c r="K16" s="101" t="str"/>
      <x:c r="L16" s="102" t="str"/>
    </x:row>
    <x:row r="17" ht="29" customHeight="1">
      <x:c r="A17" s="100" t="n">
        <x:v>8</x:v>
      </x:c>
      <x:c r="B17" s="101" t="str">
        <x:v>ADMIN</x:v>
      </x:c>
      <x:c r="C17" s="101" t="str">
        <x:v>管理費</x:v>
      </x:c>
      <x:c r="D17" s="101" t="str">
        <x:v>INV-3111</x:v>
      </x:c>
      <x:c r="E17" s="101" t="str">
        <x:v>研修取引先K（事務）</x:v>
      </x:c>
      <x:c r="F17" s="107" t="str">
        <x:v>本部事務用品・振込手数料</x:v>
      </x:c>
      <x:c r="G17" s="110" t="n">
        <x:v>35200</x:v>
      </x:c>
      <x:c r="H17" s="107" t="str">
        <x:v>本部の事務・共通費</x:v>
      </x:c>
      <x:c r="I17" s="101" t="str">
        <x:v>中</x:v>
      </x:c>
      <x:c r="J17" s="101" t="str"/>
      <x:c r="K17" s="101" t="str"/>
      <x:c r="L17" s="102" t="str"/>
    </x:row>
    <x:row r="18" ht="29" customHeight="1">
      <x:c r="A18" s="117" t="n">
        <x:v>99</x:v>
      </x:c>
      <x:c r="B18" s="118" t="str">
        <x:v>UNRESOLVED</x:v>
      </x:c>
      <x:c r="C18" s="118" t="str">
        <x:v>未確定</x:v>
      </x:c>
      <x:c r="D18" s="118" t="str">
        <x:v>INV-3112</x:v>
      </x:c>
      <x:c r="E18" s="118" t="str">
        <x:v>研修取引先L（詳細不明）</x:v>
      </x:c>
      <x:c r="F18" s="119" t="str">
        <x:v>緊急対応一式（詳細記載なし）</x:v>
      </x:c>
      <x:c r="G18" s="120" t="n">
        <x:v>33000</x:v>
      </x:c>
      <x:c r="H18" s="119" t="str">
        <x:v>摘要だけでは部門を特定できない</x:v>
      </x:c>
      <x:c r="I18" s="118" t="str">
        <x:v>低</x:v>
      </x:c>
      <x:c r="J18" s="118" t="str">
        <x:v>要確認</x:v>
      </x:c>
      <x:c r="K18" s="118" t="str"/>
      <x:c r="L18" s="121" t="str">
        <x:v>発注者と原票の作業内容を確認してください。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076194d5aa7640eb"/>
  </x:tableParts>
</x:worksheet>
</file>